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8960" windowHeight="11580" activeTab="4"/>
  </bookViews>
  <sheets>
    <sheet name="Dado Directo" sheetId="1" r:id="rId1"/>
    <sheet name="Super Dado" sheetId="2" r:id="rId2"/>
    <sheet name="Dado Tripleta" sheetId="3" r:id="rId3"/>
    <sheet name="Ruleta" sheetId="4" r:id="rId4"/>
    <sheet name="Pagos Beneficio" sheetId="5" r:id="rId5"/>
  </sheets>
  <calcPr calcId="124519"/>
</workbook>
</file>

<file path=xl/calcChain.xml><?xml version="1.0" encoding="utf-8"?>
<calcChain xmlns="http://schemas.openxmlformats.org/spreadsheetml/2006/main">
  <c r="F16" i="5"/>
  <c r="F20"/>
  <c r="E20"/>
  <c r="E16"/>
  <c r="D16"/>
  <c r="D20" s="1"/>
  <c r="C20"/>
  <c r="B20" i="2"/>
  <c r="B21"/>
  <c r="B19"/>
  <c r="E19" s="1"/>
  <c r="G19" s="1"/>
  <c r="B18"/>
  <c r="D20" i="4"/>
  <c r="C20"/>
  <c r="B19"/>
  <c r="B18"/>
  <c r="E18" s="1"/>
  <c r="G18" s="1"/>
  <c r="B17"/>
  <c r="B16"/>
  <c r="B20" s="1"/>
  <c r="D20" i="3"/>
  <c r="C20"/>
  <c r="B19"/>
  <c r="B18"/>
  <c r="E18" s="1"/>
  <c r="G18" s="1"/>
  <c r="B17"/>
  <c r="B16"/>
  <c r="E16" s="1"/>
  <c r="D22" i="2"/>
  <c r="C22"/>
  <c r="E21"/>
  <c r="G21" s="1"/>
  <c r="D18" i="1"/>
  <c r="C18"/>
  <c r="B17"/>
  <c r="B16"/>
  <c r="E16" s="1"/>
  <c r="G16" s="1"/>
  <c r="B15"/>
  <c r="B14"/>
  <c r="E14" s="1"/>
  <c r="B20" i="5" l="1"/>
  <c r="E16" i="4"/>
  <c r="G16" s="1"/>
  <c r="B18" i="1"/>
  <c r="H15" s="1"/>
  <c r="J19" i="4"/>
  <c r="J18"/>
  <c r="H18"/>
  <c r="J16"/>
  <c r="H16"/>
  <c r="J17"/>
  <c r="E17"/>
  <c r="G17" s="1"/>
  <c r="H17"/>
  <c r="E19"/>
  <c r="G19" s="1"/>
  <c r="H19"/>
  <c r="G16" i="3"/>
  <c r="E17"/>
  <c r="G17" s="1"/>
  <c r="E19"/>
  <c r="G19" s="1"/>
  <c r="B20"/>
  <c r="B22" i="2"/>
  <c r="E18"/>
  <c r="E20"/>
  <c r="G20" s="1"/>
  <c r="H14" i="1"/>
  <c r="G14"/>
  <c r="E15"/>
  <c r="G15" s="1"/>
  <c r="E17"/>
  <c r="G17" s="1"/>
  <c r="H16" l="1"/>
  <c r="H17"/>
  <c r="J16"/>
  <c r="J14"/>
  <c r="J15"/>
  <c r="J17"/>
  <c r="E20" i="4"/>
  <c r="K20" s="1"/>
  <c r="H20"/>
  <c r="G20"/>
  <c r="I16" s="1"/>
  <c r="J18" i="3"/>
  <c r="H18"/>
  <c r="J17"/>
  <c r="J19"/>
  <c r="H16"/>
  <c r="H19"/>
  <c r="H17"/>
  <c r="G20"/>
  <c r="J16"/>
  <c r="E20"/>
  <c r="K20" s="1"/>
  <c r="J21" i="2"/>
  <c r="H21"/>
  <c r="J19"/>
  <c r="H19"/>
  <c r="J20"/>
  <c r="E22"/>
  <c r="K22" s="1"/>
  <c r="G18"/>
  <c r="G22" s="1"/>
  <c r="H20"/>
  <c r="H18"/>
  <c r="J18"/>
  <c r="E18" i="1"/>
  <c r="K18" s="1"/>
  <c r="G18"/>
  <c r="H18" l="1"/>
  <c r="I20" i="2"/>
  <c r="K15" i="1"/>
  <c r="K17"/>
  <c r="K14"/>
  <c r="K16"/>
  <c r="I17"/>
  <c r="K19" i="4"/>
  <c r="K17"/>
  <c r="K18"/>
  <c r="K16"/>
  <c r="I19"/>
  <c r="I18"/>
  <c r="I17"/>
  <c r="K19" i="3"/>
  <c r="K17"/>
  <c r="K18"/>
  <c r="K16"/>
  <c r="H20"/>
  <c r="I16"/>
  <c r="I19"/>
  <c r="I18"/>
  <c r="I17"/>
  <c r="H22" i="2"/>
  <c r="I18"/>
  <c r="K21"/>
  <c r="K19"/>
  <c r="K20"/>
  <c r="K18"/>
  <c r="I19"/>
  <c r="I21"/>
  <c r="I16" i="1"/>
  <c r="I15"/>
  <c r="I14"/>
  <c r="K21" i="3" l="1"/>
  <c r="I20" i="4"/>
  <c r="I18" i="1"/>
  <c r="K19"/>
  <c r="K21" i="4"/>
  <c r="I20" i="3"/>
  <c r="K23" i="2"/>
  <c r="I22"/>
</calcChain>
</file>

<file path=xl/sharedStrings.xml><?xml version="1.0" encoding="utf-8"?>
<sst xmlns="http://schemas.openxmlformats.org/spreadsheetml/2006/main" count="212" uniqueCount="34">
  <si>
    <t>No Jugada</t>
  </si>
  <si>
    <t xml:space="preserve">Banca </t>
  </si>
  <si>
    <t>Numero</t>
  </si>
  <si>
    <t>Juego</t>
  </si>
  <si>
    <t>Apuesta</t>
  </si>
  <si>
    <t>Gano</t>
  </si>
  <si>
    <t>Banca</t>
  </si>
  <si>
    <t>Total</t>
  </si>
  <si>
    <t>Pago</t>
  </si>
  <si>
    <t>Beneficio Juegos</t>
  </si>
  <si>
    <t>PLAN 1</t>
  </si>
  <si>
    <t>PLAN 2</t>
  </si>
  <si>
    <t>** PLAN 2  - % del total jugado del 50% beneficio de la jugada</t>
  </si>
  <si>
    <t xml:space="preserve">** PLAN 1 - 50% del beneficio de la banca( el % es negociable) </t>
  </si>
  <si>
    <t>PLAN PROMOTOR  (25%)</t>
  </si>
  <si>
    <t>SUMA</t>
  </si>
  <si>
    <t xml:space="preserve">Beneficio  por pagar al cliente </t>
  </si>
  <si>
    <t>Dado Directo</t>
  </si>
  <si>
    <t>Super Dado</t>
  </si>
  <si>
    <t>Ruleta</t>
  </si>
  <si>
    <t>Dado Tripleta</t>
  </si>
  <si>
    <t>Marcos</t>
  </si>
  <si>
    <t>Juan</t>
  </si>
  <si>
    <t>Engel</t>
  </si>
  <si>
    <t>Pedro</t>
  </si>
  <si>
    <t>Beneficio del promotor es a base del 2% sobre la apuesta</t>
  </si>
  <si>
    <t>Beneficio del establecimiento (PV) es del 8% sobre el pago de la apuesta</t>
  </si>
  <si>
    <t>Total apuesta Ganadora</t>
  </si>
  <si>
    <t>Usuario</t>
  </si>
  <si>
    <t>BENEFICIOS</t>
  </si>
  <si>
    <t>PV</t>
  </si>
  <si>
    <t>Promotor</t>
  </si>
  <si>
    <t>TOTAL</t>
  </si>
  <si>
    <t>Pago cliente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</si>
</sst>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8"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b/>
      <sz val="14"/>
      <color rgb="FF000000"/>
      <name val="Calibri"/>
      <charset val="1"/>
    </font>
    <font>
      <b/>
      <sz val="12"/>
      <color rgb="FF000000"/>
      <name val="Calibri"/>
      <charset val="1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left"/>
    </xf>
    <xf numFmtId="44" fontId="0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wrapText="1"/>
    </xf>
    <xf numFmtId="44" fontId="3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0" fillId="0" borderId="1" xfId="0" applyNumberFormat="1" applyFont="1" applyFill="1" applyBorder="1" applyAlignment="1">
      <alignment horizontal="left"/>
    </xf>
    <xf numFmtId="44" fontId="0" fillId="0" borderId="1" xfId="0" applyNumberFormat="1" applyFont="1" applyFill="1" applyBorder="1" applyAlignment="1">
      <alignment horizontal="left"/>
    </xf>
    <xf numFmtId="0" fontId="0" fillId="0" borderId="1" xfId="0" applyNumberFormat="1" applyFont="1" applyFill="1" applyBorder="1" applyAlignment="1"/>
    <xf numFmtId="44" fontId="0" fillId="0" borderId="1" xfId="0" applyNumberFormat="1" applyFont="1" applyFill="1" applyBorder="1" applyAlignment="1"/>
    <xf numFmtId="44" fontId="1" fillId="0" borderId="1" xfId="0" applyNumberFormat="1" applyFont="1" applyFill="1" applyBorder="1" applyAlignment="1"/>
    <xf numFmtId="44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/>
    </xf>
    <xf numFmtId="44" fontId="1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left"/>
    </xf>
    <xf numFmtId="44" fontId="0" fillId="0" borderId="2" xfId="0" applyNumberFormat="1" applyFont="1" applyFill="1" applyBorder="1" applyAlignment="1"/>
    <xf numFmtId="44" fontId="1" fillId="0" borderId="2" xfId="0" applyNumberFormat="1" applyFont="1" applyFill="1" applyBorder="1" applyAlignment="1">
      <alignment horizontal="right"/>
    </xf>
    <xf numFmtId="9" fontId="0" fillId="0" borderId="3" xfId="0" applyNumberFormat="1" applyFont="1" applyFill="1" applyBorder="1" applyAlignment="1"/>
    <xf numFmtId="44" fontId="0" fillId="0" borderId="4" xfId="0" applyNumberFormat="1" applyFont="1" applyFill="1" applyBorder="1" applyAlignment="1"/>
    <xf numFmtId="9" fontId="1" fillId="0" borderId="5" xfId="0" applyNumberFormat="1" applyFont="1" applyFill="1" applyBorder="1" applyAlignment="1"/>
    <xf numFmtId="44" fontId="1" fillId="0" borderId="6" xfId="0" applyNumberFormat="1" applyFont="1" applyFill="1" applyBorder="1" applyAlignment="1">
      <alignment horizontal="right"/>
    </xf>
    <xf numFmtId="44" fontId="0" fillId="0" borderId="4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9" fontId="0" fillId="0" borderId="0" xfId="0" applyNumberFormat="1" applyFont="1" applyFill="1" applyBorder="1" applyAlignment="1"/>
    <xf numFmtId="44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left"/>
    </xf>
    <xf numFmtId="44" fontId="1" fillId="0" borderId="0" xfId="0" applyNumberFormat="1" applyFont="1" applyFill="1" applyBorder="1" applyAlignment="1">
      <alignment horizontal="right"/>
    </xf>
    <xf numFmtId="9" fontId="1" fillId="0" borderId="0" xfId="0" applyNumberFormat="1" applyFont="1" applyFill="1" applyBorder="1" applyAlignment="1"/>
    <xf numFmtId="9" fontId="1" fillId="0" borderId="5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/>
    <xf numFmtId="0" fontId="4" fillId="0" borderId="0" xfId="0" applyFont="1"/>
    <xf numFmtId="9" fontId="0" fillId="0" borderId="0" xfId="0" applyNumberFormat="1"/>
    <xf numFmtId="0" fontId="6" fillId="0" borderId="0" xfId="0" applyFont="1"/>
    <xf numFmtId="44" fontId="0" fillId="0" borderId="0" xfId="0" applyNumberFormat="1"/>
    <xf numFmtId="0" fontId="7" fillId="0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0" fillId="0" borderId="1" xfId="0" applyNumberFormat="1" applyFill="1" applyBorder="1" applyAlignment="1">
      <alignment horizontal="left"/>
    </xf>
    <xf numFmtId="9" fontId="1" fillId="0" borderId="15" xfId="0" applyNumberFormat="1" applyFont="1" applyFill="1" applyBorder="1" applyAlignment="1">
      <alignment horizontal="right"/>
    </xf>
    <xf numFmtId="44" fontId="1" fillId="0" borderId="16" xfId="0" applyNumberFormat="1" applyFont="1" applyFill="1" applyBorder="1" applyAlignment="1">
      <alignment horizontal="right"/>
    </xf>
    <xf numFmtId="0" fontId="7" fillId="0" borderId="17" xfId="0" applyFont="1" applyBorder="1"/>
    <xf numFmtId="44" fontId="7" fillId="0" borderId="18" xfId="0" applyNumberFormat="1" applyFont="1" applyBorder="1"/>
    <xf numFmtId="0" fontId="6" fillId="0" borderId="1" xfId="0" applyNumberFormat="1" applyFont="1" applyFill="1" applyBorder="1" applyAlignment="1">
      <alignment horizontal="left"/>
    </xf>
    <xf numFmtId="0" fontId="0" fillId="2" borderId="1" xfId="0" applyNumberFormat="1" applyFont="1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44" fontId="0" fillId="2" borderId="1" xfId="0" applyNumberFormat="1" applyFont="1" applyFill="1" applyBorder="1" applyAlignment="1">
      <alignment horizontal="left"/>
    </xf>
    <xf numFmtId="0" fontId="1" fillId="0" borderId="10" xfId="0" applyNumberFormat="1" applyFont="1" applyFill="1" applyBorder="1" applyAlignment="1">
      <alignment horizontal="left"/>
    </xf>
    <xf numFmtId="0" fontId="1" fillId="0" borderId="11" xfId="0" applyNumberFormat="1" applyFont="1" applyFill="1" applyBorder="1" applyAlignment="1">
      <alignment horizontal="left"/>
    </xf>
    <xf numFmtId="0" fontId="1" fillId="0" borderId="12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left"/>
    </xf>
    <xf numFmtId="0" fontId="1" fillId="0" borderId="8" xfId="0" applyNumberFormat="1" applyFont="1" applyFill="1" applyBorder="1" applyAlignment="1">
      <alignment horizontal="left"/>
    </xf>
    <xf numFmtId="0" fontId="1" fillId="0" borderId="9" xfId="0" applyNumberFormat="1" applyFont="1" applyFill="1" applyBorder="1" applyAlignment="1">
      <alignment horizontal="left"/>
    </xf>
    <xf numFmtId="0" fontId="7" fillId="0" borderId="13" xfId="0" applyNumberFormat="1" applyFont="1" applyFill="1" applyBorder="1" applyAlignment="1">
      <alignment horizontal="center" vertical="center" wrapText="1"/>
    </xf>
    <xf numFmtId="0" fontId="1" fillId="0" borderId="14" xfId="0" applyNumberFormat="1" applyFont="1" applyFill="1" applyBorder="1" applyAlignment="1">
      <alignment horizontal="center" vertical="center" wrapText="1"/>
    </xf>
    <xf numFmtId="0" fontId="3" fillId="0" borderId="19" xfId="0" applyNumberFormat="1" applyFont="1" applyFill="1" applyBorder="1" applyAlignment="1">
      <alignment horizontal="right"/>
    </xf>
    <xf numFmtId="0" fontId="1" fillId="0" borderId="2" xfId="0" applyNumberFormat="1" applyFont="1" applyFill="1" applyBorder="1" applyAlignment="1">
      <alignment horizontal="center" vertical="center" wrapText="1"/>
    </xf>
    <xf numFmtId="44" fontId="1" fillId="0" borderId="2" xfId="0" applyNumberFormat="1" applyFont="1" applyFill="1" applyBorder="1" applyAlignment="1"/>
    <xf numFmtId="0" fontId="0" fillId="0" borderId="20" xfId="0" applyNumberFormat="1" applyFill="1" applyBorder="1" applyAlignment="1">
      <alignment horizontal="left"/>
    </xf>
    <xf numFmtId="0" fontId="0" fillId="0" borderId="21" xfId="0" applyNumberFormat="1" applyFill="1" applyBorder="1" applyAlignment="1">
      <alignment horizontal="left"/>
    </xf>
    <xf numFmtId="0" fontId="0" fillId="0" borderId="22" xfId="0" applyNumberFormat="1" applyFill="1" applyBorder="1" applyAlignment="1">
      <alignment horizontal="left"/>
    </xf>
    <xf numFmtId="0" fontId="0" fillId="0" borderId="23" xfId="0" applyNumberFormat="1" applyFill="1" applyBorder="1" applyAlignment="1">
      <alignment horizontal="left"/>
    </xf>
    <xf numFmtId="0" fontId="0" fillId="0" borderId="24" xfId="0" applyNumberFormat="1" applyFill="1" applyBorder="1" applyAlignment="1">
      <alignment horizontal="left"/>
    </xf>
    <xf numFmtId="0" fontId="0" fillId="0" borderId="25" xfId="0" applyNumberForma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center" vertical="center" wrapText="1"/>
    </xf>
    <xf numFmtId="9" fontId="1" fillId="0" borderId="17" xfId="0" applyNumberFormat="1" applyFont="1" applyFill="1" applyBorder="1" applyAlignment="1">
      <alignment horizontal="center" vertical="center" wrapText="1"/>
    </xf>
    <xf numFmtId="44" fontId="0" fillId="0" borderId="17" xfId="0" applyNumberFormat="1" applyFont="1" applyFill="1" applyBorder="1" applyAlignment="1"/>
    <xf numFmtId="0" fontId="7" fillId="0" borderId="26" xfId="0" applyNumberFormat="1" applyFont="1" applyFill="1" applyBorder="1" applyAlignment="1">
      <alignment horizontal="center" vertical="center" wrapText="1"/>
    </xf>
    <xf numFmtId="0" fontId="1" fillId="0" borderId="27" xfId="0" applyNumberFormat="1" applyFont="1" applyFill="1" applyBorder="1" applyAlignment="1">
      <alignment horizontal="center" vertical="center" wrapText="1"/>
    </xf>
    <xf numFmtId="0" fontId="7" fillId="0" borderId="28" xfId="0" applyNumberFormat="1" applyFont="1" applyFill="1" applyBorder="1" applyAlignment="1">
      <alignment horizontal="center" vertical="center" wrapText="1"/>
    </xf>
    <xf numFmtId="9" fontId="7" fillId="0" borderId="29" xfId="0" applyNumberFormat="1" applyFont="1" applyFill="1" applyBorder="1" applyAlignment="1">
      <alignment horizontal="center" vertical="center" wrapText="1"/>
    </xf>
    <xf numFmtId="9" fontId="7" fillId="0" borderId="30" xfId="0" applyNumberFormat="1" applyFont="1" applyFill="1" applyBorder="1" applyAlignment="1">
      <alignment horizontal="center" vertical="center" wrapText="1"/>
    </xf>
    <xf numFmtId="44" fontId="0" fillId="0" borderId="29" xfId="0" applyNumberFormat="1" applyFont="1" applyFill="1" applyBorder="1" applyAlignment="1"/>
    <xf numFmtId="44" fontId="0" fillId="0" borderId="30" xfId="0" applyNumberFormat="1" applyFont="1" applyFill="1" applyBorder="1" applyAlignment="1"/>
    <xf numFmtId="0" fontId="1" fillId="0" borderId="29" xfId="0" applyNumberFormat="1" applyFont="1" applyFill="1" applyBorder="1" applyAlignment="1"/>
    <xf numFmtId="0" fontId="1" fillId="0" borderId="30" xfId="0" applyNumberFormat="1" applyFont="1" applyFill="1" applyBorder="1" applyAlignment="1"/>
    <xf numFmtId="0" fontId="0" fillId="0" borderId="29" xfId="0" applyNumberFormat="1" applyFont="1" applyFill="1" applyBorder="1" applyAlignment="1"/>
    <xf numFmtId="0" fontId="0" fillId="0" borderId="30" xfId="0" applyNumberFormat="1" applyFont="1" applyFill="1" applyBorder="1" applyAlignment="1"/>
    <xf numFmtId="44" fontId="1" fillId="0" borderId="31" xfId="0" applyNumberFormat="1" applyFont="1" applyFill="1" applyBorder="1" applyAlignment="1"/>
    <xf numFmtId="44" fontId="1" fillId="0" borderId="32" xfId="0" applyNumberFormat="1" applyFont="1" applyFill="1" applyBorder="1" applyAlignment="1"/>
    <xf numFmtId="44" fontId="1" fillId="0" borderId="33" xfId="0" applyNumberFormat="1" applyFont="1" applyFill="1" applyBorder="1" applyAlignment="1"/>
    <xf numFmtId="0" fontId="3" fillId="0" borderId="34" xfId="0" applyNumberFormat="1" applyFont="1" applyFill="1" applyBorder="1" applyAlignment="1">
      <alignment horizontal="center"/>
    </xf>
    <xf numFmtId="0" fontId="3" fillId="0" borderId="35" xfId="0" applyNumberFormat="1" applyFont="1" applyFill="1" applyBorder="1" applyAlignment="1">
      <alignment horizontal="center"/>
    </xf>
    <xf numFmtId="0" fontId="3" fillId="0" borderId="3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selection sqref="A1:K21"/>
    </sheetView>
  </sheetViews>
  <sheetFormatPr defaultRowHeight="15"/>
  <cols>
    <col min="1" max="1" width="12.7109375" bestFit="1" customWidth="1"/>
    <col min="2" max="2" width="10.85546875" bestFit="1" customWidth="1"/>
    <col min="3" max="3" width="10.5703125" customWidth="1"/>
    <col min="4" max="4" width="14.5703125" bestFit="1" customWidth="1"/>
    <col min="5" max="5" width="16" customWidth="1"/>
    <col min="6" max="7" width="10.5703125" bestFit="1" customWidth="1"/>
    <col min="8" max="8" width="5.5703125" bestFit="1" customWidth="1"/>
    <col min="9" max="9" width="10.5703125" bestFit="1" customWidth="1"/>
    <col min="10" max="10" width="8.140625" customWidth="1"/>
    <col min="11" max="11" width="10.5703125" bestFit="1" customWidth="1"/>
    <col min="12" max="12" width="5" bestFit="1" customWidth="1"/>
    <col min="13" max="13" width="9" bestFit="1" customWidth="1"/>
    <col min="14" max="14" width="11.140625" customWidth="1"/>
    <col min="15" max="15" width="7.28515625" customWidth="1"/>
    <col min="16" max="16" width="11.5703125" customWidth="1"/>
    <col min="17" max="17" width="10.5703125" customWidth="1"/>
  </cols>
  <sheetData>
    <row r="1" spans="1:17" s="2" customForma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M1" s="58"/>
      <c r="N1" s="58"/>
      <c r="O1" s="58"/>
      <c r="P1" s="58"/>
    </row>
    <row r="2" spans="1:17">
      <c r="A2" s="10">
        <v>135</v>
      </c>
      <c r="B2" s="43" t="s">
        <v>21</v>
      </c>
      <c r="C2" s="10">
        <v>1</v>
      </c>
      <c r="D2" s="43" t="s">
        <v>17</v>
      </c>
      <c r="E2" s="11">
        <v>1000</v>
      </c>
      <c r="F2" s="11"/>
      <c r="H2" s="4"/>
      <c r="I2" s="15"/>
      <c r="J2" s="15"/>
      <c r="K2" s="15"/>
      <c r="L2" s="15"/>
      <c r="M2" s="28"/>
      <c r="N2" s="29"/>
      <c r="O2" s="28"/>
      <c r="P2" s="15"/>
      <c r="Q2" s="15"/>
    </row>
    <row r="3" spans="1:17" s="2" customFormat="1">
      <c r="A3" s="10">
        <v>135</v>
      </c>
      <c r="B3" s="10" t="s">
        <v>21</v>
      </c>
      <c r="C3" s="10">
        <v>2</v>
      </c>
      <c r="D3" s="43" t="s">
        <v>17</v>
      </c>
      <c r="E3" s="11">
        <v>1000</v>
      </c>
      <c r="F3" s="11"/>
      <c r="G3"/>
      <c r="H3" s="4"/>
      <c r="I3" s="15"/>
      <c r="J3" s="15"/>
      <c r="L3" s="15"/>
      <c r="M3" s="28"/>
      <c r="N3" s="29"/>
      <c r="O3" s="28"/>
      <c r="P3" s="15"/>
      <c r="Q3" s="15"/>
    </row>
    <row r="4" spans="1:17">
      <c r="A4" s="49">
        <v>135</v>
      </c>
      <c r="B4" s="49" t="s">
        <v>21</v>
      </c>
      <c r="C4" s="49">
        <v>3</v>
      </c>
      <c r="D4" s="50" t="s">
        <v>17</v>
      </c>
      <c r="E4" s="51">
        <v>500</v>
      </c>
      <c r="F4" s="51">
        <v>2000</v>
      </c>
      <c r="H4" s="4"/>
      <c r="I4" s="15"/>
      <c r="J4" s="15"/>
      <c r="K4" s="1"/>
      <c r="L4" s="15"/>
      <c r="M4" s="28"/>
      <c r="N4" s="29"/>
      <c r="O4" s="28"/>
      <c r="P4" s="15"/>
      <c r="Q4" s="15"/>
    </row>
    <row r="5" spans="1:17">
      <c r="A5" s="10">
        <v>135</v>
      </c>
      <c r="B5" s="10" t="s">
        <v>21</v>
      </c>
      <c r="C5" s="10">
        <v>1</v>
      </c>
      <c r="D5" s="43" t="s">
        <v>17</v>
      </c>
      <c r="E5" s="11">
        <v>1000</v>
      </c>
      <c r="F5" s="11"/>
      <c r="H5" s="4"/>
      <c r="I5" s="15"/>
      <c r="J5" s="15"/>
      <c r="K5" s="1"/>
      <c r="L5" s="15"/>
      <c r="M5" s="28"/>
      <c r="N5" s="29"/>
      <c r="O5" s="28"/>
      <c r="P5" s="15"/>
      <c r="Q5" s="15"/>
    </row>
    <row r="6" spans="1:17">
      <c r="A6" s="10">
        <v>135</v>
      </c>
      <c r="B6" s="10" t="s">
        <v>22</v>
      </c>
      <c r="C6" s="10">
        <v>4</v>
      </c>
      <c r="D6" s="43" t="s">
        <v>17</v>
      </c>
      <c r="E6" s="11">
        <v>1000</v>
      </c>
      <c r="F6" s="11"/>
      <c r="H6" s="30"/>
      <c r="I6" s="17"/>
      <c r="J6" s="17"/>
      <c r="K6" s="17"/>
      <c r="L6" s="31"/>
      <c r="M6" s="32"/>
      <c r="N6" s="31"/>
      <c r="O6" s="31"/>
      <c r="P6" s="31"/>
      <c r="Q6" s="15"/>
    </row>
    <row r="7" spans="1:17">
      <c r="A7" s="10">
        <v>135</v>
      </c>
      <c r="B7" s="10" t="s">
        <v>23</v>
      </c>
      <c r="C7" s="10">
        <v>5</v>
      </c>
      <c r="D7" s="43" t="s">
        <v>17</v>
      </c>
      <c r="E7" s="11">
        <v>1000</v>
      </c>
      <c r="F7" s="11"/>
      <c r="H7" s="4"/>
      <c r="I7" s="1"/>
      <c r="J7" s="1"/>
      <c r="K7" s="6"/>
      <c r="L7" s="1"/>
      <c r="M7" s="1"/>
      <c r="N7" s="1"/>
      <c r="O7" s="1"/>
      <c r="P7" s="1"/>
      <c r="Q7" s="1"/>
    </row>
    <row r="8" spans="1:17">
      <c r="A8" s="10">
        <v>135</v>
      </c>
      <c r="B8" s="10" t="s">
        <v>23</v>
      </c>
      <c r="C8" s="10">
        <v>6</v>
      </c>
      <c r="D8" s="43" t="s">
        <v>17</v>
      </c>
      <c r="E8" s="11">
        <v>1000</v>
      </c>
      <c r="F8" s="1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10">
        <v>135</v>
      </c>
      <c r="B9" s="10" t="s">
        <v>23</v>
      </c>
      <c r="C9" s="10">
        <v>1</v>
      </c>
      <c r="D9" s="43" t="s">
        <v>17</v>
      </c>
      <c r="E9" s="11">
        <v>1000</v>
      </c>
      <c r="F9" s="1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s="36" customFormat="1">
      <c r="A10" s="10">
        <v>135</v>
      </c>
      <c r="B10" s="10" t="s">
        <v>23</v>
      </c>
      <c r="C10" s="10">
        <v>1</v>
      </c>
      <c r="D10" s="43" t="s">
        <v>17</v>
      </c>
      <c r="E10" s="11">
        <v>1000</v>
      </c>
      <c r="F10" s="11"/>
      <c r="G10"/>
      <c r="H10" s="35"/>
      <c r="I10" s="35"/>
      <c r="J10" s="35"/>
      <c r="K10" s="35"/>
      <c r="L10" s="56"/>
      <c r="M10" s="56"/>
      <c r="N10" s="56"/>
      <c r="O10" s="56"/>
      <c r="P10" s="56"/>
      <c r="Q10" s="35"/>
    </row>
    <row r="11" spans="1:17">
      <c r="A11" s="10">
        <v>135</v>
      </c>
      <c r="B11" s="10" t="s">
        <v>24</v>
      </c>
      <c r="C11" s="10">
        <v>1</v>
      </c>
      <c r="D11" s="43" t="s">
        <v>17</v>
      </c>
      <c r="E11" s="11">
        <v>1000</v>
      </c>
      <c r="F11" s="11"/>
      <c r="H11" s="1"/>
      <c r="I11" s="1"/>
      <c r="J11" s="1"/>
      <c r="K11" s="1"/>
      <c r="L11" s="57"/>
      <c r="M11" s="57"/>
      <c r="N11" s="57"/>
      <c r="O11" s="57"/>
      <c r="P11" s="57"/>
      <c r="Q11" s="1"/>
    </row>
    <row r="12" spans="1:17" ht="16.5" thickBot="1">
      <c r="A12" s="55"/>
      <c r="B12" s="55"/>
      <c r="C12" s="55"/>
      <c r="D12" s="55"/>
      <c r="E12" s="7"/>
      <c r="F12" s="7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30">
      <c r="A13" s="26" t="s">
        <v>6</v>
      </c>
      <c r="B13" s="26" t="s">
        <v>7</v>
      </c>
      <c r="C13" s="26" t="s">
        <v>8</v>
      </c>
      <c r="D13" s="40" t="s">
        <v>16</v>
      </c>
      <c r="E13" s="27" t="s">
        <v>9</v>
      </c>
      <c r="F13" s="59" t="s">
        <v>10</v>
      </c>
      <c r="G13" s="60"/>
      <c r="H13" s="59" t="s">
        <v>11</v>
      </c>
      <c r="I13" s="60"/>
      <c r="J13" s="64" t="s">
        <v>14</v>
      </c>
      <c r="K13" s="65"/>
    </row>
    <row r="14" spans="1:17">
      <c r="A14" s="10" t="s">
        <v>21</v>
      </c>
      <c r="B14" s="13">
        <f>SUMIF($B$2:$B$11,A14,$E$2:$E$11)</f>
        <v>3500</v>
      </c>
      <c r="C14" s="13">
        <v>2000</v>
      </c>
      <c r="D14" s="13">
        <v>500</v>
      </c>
      <c r="E14" s="19">
        <f>B14-C14-D14</f>
        <v>1000</v>
      </c>
      <c r="F14" s="21">
        <v>0.5</v>
      </c>
      <c r="G14" s="22">
        <f>F14*E14</f>
        <v>500</v>
      </c>
      <c r="H14" s="21">
        <f>B14/$B$18</f>
        <v>0.36842105263157893</v>
      </c>
      <c r="I14" s="25">
        <f>H14*$G$18</f>
        <v>1289.4736842105262</v>
      </c>
      <c r="J14" s="21">
        <f>B14/$B$18</f>
        <v>0.36842105263157893</v>
      </c>
      <c r="K14" s="25">
        <f>$K$18*J14</f>
        <v>644.73684210526312</v>
      </c>
    </row>
    <row r="15" spans="1:17">
      <c r="A15" s="10" t="s">
        <v>22</v>
      </c>
      <c r="B15" s="13">
        <f>SUMIF($B$2:$B$11,A15,$E$2:$E$11)</f>
        <v>1000</v>
      </c>
      <c r="C15" s="13"/>
      <c r="D15" s="9"/>
      <c r="E15" s="19">
        <f>B15-C15-D15</f>
        <v>1000</v>
      </c>
      <c r="F15" s="21">
        <v>0.5</v>
      </c>
      <c r="G15" s="22">
        <f>F15*E15</f>
        <v>500</v>
      </c>
      <c r="H15" s="21">
        <f>B15/$B$18</f>
        <v>0.10526315789473684</v>
      </c>
      <c r="I15" s="25">
        <f>H15*$G$18</f>
        <v>368.4210526315789</v>
      </c>
      <c r="J15" s="21">
        <f t="shared" ref="J15:J17" si="0">B15/$B$18</f>
        <v>0.10526315789473684</v>
      </c>
      <c r="K15" s="25">
        <f t="shared" ref="K15:K17" si="1">$K$18*J15</f>
        <v>184.21052631578945</v>
      </c>
    </row>
    <row r="16" spans="1:17">
      <c r="A16" s="10" t="s">
        <v>23</v>
      </c>
      <c r="B16" s="13">
        <f>SUMIF($B$2:$B$11,A16,$E$2:$E$11)</f>
        <v>4000</v>
      </c>
      <c r="C16" s="13"/>
      <c r="D16" s="12"/>
      <c r="E16" s="19">
        <f>B16-C16-D16</f>
        <v>4000</v>
      </c>
      <c r="F16" s="21">
        <v>0.5</v>
      </c>
      <c r="G16" s="22">
        <f>F16*E16</f>
        <v>2000</v>
      </c>
      <c r="H16" s="21">
        <f>B16/$B$18</f>
        <v>0.42105263157894735</v>
      </c>
      <c r="I16" s="25">
        <f>H16*$G$18</f>
        <v>1473.6842105263156</v>
      </c>
      <c r="J16" s="21">
        <f t="shared" si="0"/>
        <v>0.42105263157894735</v>
      </c>
      <c r="K16" s="25">
        <f t="shared" si="1"/>
        <v>736.8421052631578</v>
      </c>
    </row>
    <row r="17" spans="1:12">
      <c r="A17" s="10" t="s">
        <v>24</v>
      </c>
      <c r="B17" s="13">
        <f>SUMIF($B$2:$B$11,A17,$E$2:$E$11)</f>
        <v>1000</v>
      </c>
      <c r="C17" s="13"/>
      <c r="D17" s="12"/>
      <c r="E17" s="19">
        <f>B17-C17-D17</f>
        <v>1000</v>
      </c>
      <c r="F17" s="21">
        <v>0.5</v>
      </c>
      <c r="G17" s="22">
        <f>F17*E17</f>
        <v>500</v>
      </c>
      <c r="H17" s="21">
        <f>B17/$B$18</f>
        <v>0.10526315789473684</v>
      </c>
      <c r="I17" s="25">
        <f>H17*$G$18</f>
        <v>368.4210526315789</v>
      </c>
      <c r="J17" s="21">
        <f t="shared" si="0"/>
        <v>0.10526315789473684</v>
      </c>
      <c r="K17" s="25">
        <f t="shared" si="1"/>
        <v>184.21052631578945</v>
      </c>
      <c r="L17" s="38"/>
    </row>
    <row r="18" spans="1:12" ht="15.75" thickBot="1">
      <c r="A18" s="18" t="s">
        <v>7</v>
      </c>
      <c r="B18" s="14">
        <f>SUM(B14:B17)</f>
        <v>9500</v>
      </c>
      <c r="C18" s="14">
        <f>SUM(C14:C17)</f>
        <v>2000</v>
      </c>
      <c r="D18" s="14">
        <f>SUM(D14:D17)</f>
        <v>500</v>
      </c>
      <c r="E18" s="20">
        <f>SUM(E14:E17)</f>
        <v>7000</v>
      </c>
      <c r="F18" s="23">
        <v>0.5</v>
      </c>
      <c r="G18" s="24">
        <f>SUM(G14:G17)</f>
        <v>3500</v>
      </c>
      <c r="H18" s="33">
        <f>SUM(H14:H17)</f>
        <v>0.99999999999999989</v>
      </c>
      <c r="I18" s="24">
        <f>SUM(I14:I17)</f>
        <v>3499.9999999999995</v>
      </c>
      <c r="J18" s="44">
        <v>0.25</v>
      </c>
      <c r="K18" s="45">
        <f>J18*E18</f>
        <v>1750</v>
      </c>
    </row>
    <row r="19" spans="1:12" ht="15.75" thickBot="1">
      <c r="A19" s="4"/>
      <c r="D19" s="6"/>
      <c r="F19" s="37"/>
      <c r="J19" s="46" t="s">
        <v>15</v>
      </c>
      <c r="K19" s="47">
        <f>SUM(K14:K17)</f>
        <v>1749.9999999999998</v>
      </c>
    </row>
    <row r="20" spans="1:12">
      <c r="A20" s="61" t="s">
        <v>13</v>
      </c>
      <c r="B20" s="62"/>
      <c r="C20" s="62"/>
      <c r="D20" s="62"/>
      <c r="E20" s="63"/>
    </row>
    <row r="21" spans="1:12">
      <c r="A21" s="52" t="s">
        <v>12</v>
      </c>
      <c r="B21" s="53"/>
      <c r="C21" s="53"/>
      <c r="D21" s="53"/>
      <c r="E21" s="54"/>
    </row>
  </sheetData>
  <mergeCells count="10">
    <mergeCell ref="A21:E21"/>
    <mergeCell ref="A12:D12"/>
    <mergeCell ref="L10:P10"/>
    <mergeCell ref="L11:P11"/>
    <mergeCell ref="M1:N1"/>
    <mergeCell ref="O1:P1"/>
    <mergeCell ref="F13:G13"/>
    <mergeCell ref="H13:I13"/>
    <mergeCell ref="A20:E20"/>
    <mergeCell ref="J13:K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7"/>
  <sheetViews>
    <sheetView workbookViewId="0">
      <selection activeCell="C4" sqref="C4"/>
    </sheetView>
  </sheetViews>
  <sheetFormatPr defaultRowHeight="15"/>
  <cols>
    <col min="1" max="1" width="10" bestFit="1" customWidth="1"/>
    <col min="2" max="2" width="11.5703125" bestFit="1" customWidth="1"/>
    <col min="3" max="3" width="8.28515625" bestFit="1" customWidth="1"/>
    <col min="4" max="4" width="14.5703125" bestFit="1" customWidth="1"/>
    <col min="5" max="5" width="16" customWidth="1"/>
    <col min="6" max="6" width="5.7109375" bestFit="1" customWidth="1"/>
    <col min="7" max="7" width="10.5703125" bestFit="1" customWidth="1"/>
    <col min="8" max="8" width="5.5703125" bestFit="1" customWidth="1"/>
    <col min="9" max="9" width="10.5703125" bestFit="1" customWidth="1"/>
    <col min="10" max="10" width="6.28515625" bestFit="1" customWidth="1"/>
    <col min="11" max="11" width="10.5703125" bestFit="1" customWidth="1"/>
    <col min="12" max="12" width="16" customWidth="1"/>
    <col min="13" max="13" width="4.5703125" customWidth="1"/>
    <col min="14" max="14" width="11.140625" customWidth="1"/>
    <col min="15" max="15" width="7.28515625" customWidth="1"/>
    <col min="16" max="16" width="11.5703125" customWidth="1"/>
    <col min="17" max="17" width="10.5703125" customWidth="1"/>
  </cols>
  <sheetData>
    <row r="1" spans="1:17" s="2" customForma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M1" s="58"/>
      <c r="N1" s="58"/>
      <c r="O1" s="58"/>
      <c r="P1" s="58"/>
    </row>
    <row r="2" spans="1:17">
      <c r="A2" s="10">
        <v>135</v>
      </c>
      <c r="B2" s="10" t="s">
        <v>21</v>
      </c>
      <c r="C2" s="10">
        <v>1</v>
      </c>
      <c r="D2" s="43" t="s">
        <v>18</v>
      </c>
      <c r="E2" s="11">
        <v>1000</v>
      </c>
      <c r="F2" s="11"/>
      <c r="H2" s="4"/>
      <c r="I2" s="29"/>
      <c r="J2" s="29"/>
      <c r="K2" s="29"/>
      <c r="L2" s="29"/>
      <c r="M2" s="28"/>
      <c r="N2" s="29"/>
      <c r="O2" s="28"/>
      <c r="P2" s="29"/>
      <c r="Q2" s="29"/>
    </row>
    <row r="3" spans="1:17" s="2" customFormat="1">
      <c r="A3" s="10">
        <v>135</v>
      </c>
      <c r="B3" s="10" t="s">
        <v>21</v>
      </c>
      <c r="C3" s="10">
        <v>2</v>
      </c>
      <c r="D3" s="43" t="s">
        <v>18</v>
      </c>
      <c r="E3" s="11">
        <v>1000</v>
      </c>
      <c r="F3" s="11"/>
      <c r="G3"/>
      <c r="H3" s="4"/>
      <c r="I3" s="29"/>
      <c r="J3" s="29"/>
      <c r="L3" s="29"/>
      <c r="M3" s="28"/>
      <c r="N3" s="29"/>
      <c r="O3" s="28"/>
      <c r="P3" s="29"/>
      <c r="Q3" s="29"/>
    </row>
    <row r="4" spans="1:17">
      <c r="A4" s="10">
        <v>135</v>
      </c>
      <c r="B4" s="10" t="s">
        <v>21</v>
      </c>
      <c r="C4" s="10">
        <v>3</v>
      </c>
      <c r="D4" s="43" t="s">
        <v>18</v>
      </c>
      <c r="E4" s="11">
        <v>500</v>
      </c>
      <c r="F4" s="11"/>
      <c r="H4" s="4"/>
      <c r="I4" s="29"/>
      <c r="J4" s="29"/>
      <c r="K4" s="1"/>
      <c r="L4" s="29"/>
      <c r="M4" s="28"/>
      <c r="N4" s="29"/>
      <c r="O4" s="28"/>
      <c r="P4" s="29"/>
      <c r="Q4" s="29"/>
    </row>
    <row r="5" spans="1:17">
      <c r="A5" s="10">
        <v>135</v>
      </c>
      <c r="B5" s="10" t="s">
        <v>22</v>
      </c>
      <c r="C5" s="10">
        <v>4</v>
      </c>
      <c r="D5" s="43" t="s">
        <v>18</v>
      </c>
      <c r="E5" s="11">
        <v>1000</v>
      </c>
      <c r="F5" s="11"/>
      <c r="H5" s="34"/>
      <c r="I5" s="17"/>
      <c r="J5" s="17"/>
      <c r="K5" s="17"/>
      <c r="L5" s="31"/>
      <c r="M5" s="32"/>
      <c r="N5" s="31"/>
      <c r="O5" s="31"/>
      <c r="P5" s="31"/>
      <c r="Q5" s="29"/>
    </row>
    <row r="6" spans="1:17">
      <c r="A6" s="10">
        <v>135</v>
      </c>
      <c r="B6" s="10" t="s">
        <v>22</v>
      </c>
      <c r="C6" s="10">
        <v>5</v>
      </c>
      <c r="D6" s="43" t="s">
        <v>18</v>
      </c>
      <c r="E6" s="11">
        <v>1000</v>
      </c>
      <c r="F6" s="11"/>
      <c r="H6" s="4"/>
      <c r="I6" s="1"/>
      <c r="J6" s="1"/>
      <c r="K6" s="6"/>
      <c r="L6" s="1"/>
      <c r="M6" s="1"/>
      <c r="N6" s="1"/>
      <c r="O6" s="1"/>
      <c r="P6" s="1"/>
      <c r="Q6" s="1"/>
    </row>
    <row r="7" spans="1:17">
      <c r="A7" s="49">
        <v>135</v>
      </c>
      <c r="B7" s="49" t="s">
        <v>22</v>
      </c>
      <c r="C7" s="49">
        <v>6</v>
      </c>
      <c r="D7" s="50" t="s">
        <v>18</v>
      </c>
      <c r="E7" s="51">
        <v>1000</v>
      </c>
      <c r="F7" s="5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10">
        <v>135</v>
      </c>
      <c r="B8" s="10" t="s">
        <v>23</v>
      </c>
      <c r="C8" s="10">
        <v>1</v>
      </c>
      <c r="D8" s="43" t="s">
        <v>18</v>
      </c>
      <c r="E8" s="11">
        <v>1000</v>
      </c>
      <c r="F8" s="1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s="36" customFormat="1">
      <c r="A9" s="10">
        <v>135</v>
      </c>
      <c r="B9" s="10" t="s">
        <v>23</v>
      </c>
      <c r="C9" s="10">
        <v>2</v>
      </c>
      <c r="D9" s="43" t="s">
        <v>18</v>
      </c>
      <c r="E9" s="11">
        <v>1000</v>
      </c>
      <c r="F9" s="11"/>
      <c r="G9"/>
      <c r="H9" s="35"/>
      <c r="I9" s="35"/>
      <c r="J9" s="35"/>
      <c r="K9" s="35"/>
      <c r="L9" s="56"/>
      <c r="M9" s="56"/>
      <c r="N9" s="56"/>
      <c r="O9" s="56"/>
      <c r="P9" s="56"/>
      <c r="Q9" s="35"/>
    </row>
    <row r="10" spans="1:17">
      <c r="A10" s="10">
        <v>135</v>
      </c>
      <c r="B10" s="10" t="s">
        <v>23</v>
      </c>
      <c r="C10" s="10">
        <v>4</v>
      </c>
      <c r="D10" s="43" t="s">
        <v>18</v>
      </c>
      <c r="E10" s="11">
        <v>1000</v>
      </c>
      <c r="F10" s="11"/>
      <c r="H10" s="1"/>
      <c r="I10" s="1"/>
      <c r="J10" s="1"/>
      <c r="K10" s="1"/>
      <c r="L10" s="57"/>
      <c r="M10" s="57"/>
      <c r="N10" s="57"/>
      <c r="O10" s="57"/>
      <c r="P10" s="57"/>
      <c r="Q10" s="1"/>
    </row>
    <row r="11" spans="1:17">
      <c r="A11" s="10">
        <v>135</v>
      </c>
      <c r="B11" s="48" t="s">
        <v>24</v>
      </c>
      <c r="C11" s="10">
        <v>1</v>
      </c>
      <c r="D11" s="43" t="s">
        <v>18</v>
      </c>
      <c r="E11" s="11">
        <v>1000</v>
      </c>
      <c r="F11" s="1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A12" s="10">
        <v>135</v>
      </c>
      <c r="B12" s="48" t="s">
        <v>24</v>
      </c>
      <c r="C12" s="10">
        <v>4</v>
      </c>
      <c r="D12" s="43" t="s">
        <v>18</v>
      </c>
      <c r="E12" s="11">
        <v>1000</v>
      </c>
      <c r="F12" s="11"/>
      <c r="H12" s="35"/>
      <c r="I12" s="35"/>
      <c r="J12" s="35"/>
      <c r="K12" s="35"/>
    </row>
    <row r="13" spans="1:17">
      <c r="A13" s="10">
        <v>135</v>
      </c>
      <c r="B13" s="48" t="s">
        <v>24</v>
      </c>
      <c r="C13" s="10">
        <v>5</v>
      </c>
      <c r="D13" s="43" t="s">
        <v>18</v>
      </c>
      <c r="E13" s="11">
        <v>1000</v>
      </c>
      <c r="F13" s="11"/>
      <c r="H13" s="1"/>
      <c r="I13" s="1"/>
      <c r="J13" s="1"/>
      <c r="K13" s="1"/>
    </row>
    <row r="14" spans="1:17" ht="15.75">
      <c r="A14" s="66"/>
      <c r="B14" s="66"/>
      <c r="C14" s="66"/>
      <c r="D14" s="66"/>
      <c r="E14" s="7"/>
      <c r="F14" s="7"/>
      <c r="H14" s="1"/>
      <c r="I14" s="1"/>
      <c r="J14" s="1"/>
      <c r="K14" s="1"/>
    </row>
    <row r="15" spans="1:17">
      <c r="A15" s="1"/>
      <c r="B15" s="1"/>
      <c r="C15" s="1"/>
      <c r="D15" s="1"/>
      <c r="E15" s="1"/>
      <c r="F15" s="1"/>
    </row>
    <row r="16" spans="1:17" ht="19.5" thickBot="1">
      <c r="A16" s="16"/>
      <c r="B16" s="3"/>
      <c r="C16" s="3"/>
      <c r="D16" s="3"/>
      <c r="E16" s="3"/>
      <c r="F16" s="3"/>
      <c r="G16" s="3"/>
    </row>
    <row r="17" spans="1:12" ht="30">
      <c r="A17" s="26" t="s">
        <v>6</v>
      </c>
      <c r="B17" s="26" t="s">
        <v>7</v>
      </c>
      <c r="C17" s="26" t="s">
        <v>8</v>
      </c>
      <c r="D17" s="40" t="s">
        <v>16</v>
      </c>
      <c r="E17" s="27" t="s">
        <v>9</v>
      </c>
      <c r="F17" s="59" t="s">
        <v>10</v>
      </c>
      <c r="G17" s="60"/>
      <c r="H17" s="59" t="s">
        <v>11</v>
      </c>
      <c r="I17" s="60"/>
      <c r="J17" s="64" t="s">
        <v>14</v>
      </c>
      <c r="K17" s="65"/>
    </row>
    <row r="18" spans="1:12">
      <c r="A18" s="10" t="s">
        <v>21</v>
      </c>
      <c r="B18" s="13">
        <f>SUMIF($B$2:$B$13,A18,$E$2:$E$13)</f>
        <v>2500</v>
      </c>
      <c r="C18" s="13"/>
      <c r="D18" s="13"/>
      <c r="E18" s="19">
        <f>B18-C18-D18</f>
        <v>2500</v>
      </c>
      <c r="F18" s="21">
        <v>0.5</v>
      </c>
      <c r="G18" s="25">
        <f>F18*E18</f>
        <v>1250</v>
      </c>
      <c r="H18" s="21">
        <f>B18/$B$22</f>
        <v>0.21739130434782608</v>
      </c>
      <c r="I18" s="25">
        <f>H18*$G$22</f>
        <v>1250</v>
      </c>
      <c r="J18" s="21">
        <f>B18/$B$22</f>
        <v>0.21739130434782608</v>
      </c>
      <c r="K18" s="25">
        <f>$K$22*J18</f>
        <v>625</v>
      </c>
      <c r="L18" s="38"/>
    </row>
    <row r="19" spans="1:12">
      <c r="A19" s="10" t="s">
        <v>22</v>
      </c>
      <c r="B19" s="13">
        <f>SUMIF($B$2:$B$13,A19,$E$2:$E$13)</f>
        <v>3000</v>
      </c>
      <c r="C19" s="13"/>
      <c r="D19" s="9"/>
      <c r="E19" s="19">
        <f>B19-C19-D19</f>
        <v>3000</v>
      </c>
      <c r="F19" s="21">
        <v>0.5</v>
      </c>
      <c r="G19" s="25">
        <f>F19*E19</f>
        <v>1500</v>
      </c>
      <c r="H19" s="21">
        <f>B19/$B$22</f>
        <v>0.2608695652173913</v>
      </c>
      <c r="I19" s="25">
        <f>H19*$G$22</f>
        <v>1500</v>
      </c>
      <c r="J19" s="21">
        <f t="shared" ref="J19:J21" si="0">B19/$B$22</f>
        <v>0.2608695652173913</v>
      </c>
      <c r="K19" s="25">
        <f t="shared" ref="K19:K21" si="1">$K$22*J19</f>
        <v>750</v>
      </c>
    </row>
    <row r="20" spans="1:12">
      <c r="A20" s="10" t="s">
        <v>23</v>
      </c>
      <c r="B20" s="13">
        <f t="shared" ref="B20:B21" si="2">SUMIF($B$2:$B$13,A20,$E$2:$E$13)</f>
        <v>3000</v>
      </c>
      <c r="C20" s="13"/>
      <c r="D20" s="12"/>
      <c r="E20" s="19">
        <f>B20-C20-D20</f>
        <v>3000</v>
      </c>
      <c r="F20" s="21">
        <v>0.5</v>
      </c>
      <c r="G20" s="25">
        <f>F20*E20</f>
        <v>1500</v>
      </c>
      <c r="H20" s="21">
        <f>B20/$B$22</f>
        <v>0.2608695652173913</v>
      </c>
      <c r="I20" s="25">
        <f>H20*$G$22</f>
        <v>1500</v>
      </c>
      <c r="J20" s="21">
        <f t="shared" si="0"/>
        <v>0.2608695652173913</v>
      </c>
      <c r="K20" s="25">
        <f t="shared" si="1"/>
        <v>750</v>
      </c>
    </row>
    <row r="21" spans="1:12">
      <c r="A21" s="10" t="s">
        <v>24</v>
      </c>
      <c r="B21" s="13">
        <f t="shared" si="2"/>
        <v>3000</v>
      </c>
      <c r="C21" s="13"/>
      <c r="D21" s="12"/>
      <c r="E21" s="19">
        <f>B21-C21-D21</f>
        <v>3000</v>
      </c>
      <c r="F21" s="21">
        <v>0.5</v>
      </c>
      <c r="G21" s="25">
        <f>F21*E21</f>
        <v>1500</v>
      </c>
      <c r="H21" s="21">
        <f>B21/$B$22</f>
        <v>0.2608695652173913</v>
      </c>
      <c r="I21" s="25">
        <f>H21*$G$22</f>
        <v>1500</v>
      </c>
      <c r="J21" s="21">
        <f t="shared" si="0"/>
        <v>0.2608695652173913</v>
      </c>
      <c r="K21" s="25">
        <f t="shared" si="1"/>
        <v>750</v>
      </c>
    </row>
    <row r="22" spans="1:12" ht="15.75" thickBot="1">
      <c r="A22" s="18" t="s">
        <v>7</v>
      </c>
      <c r="B22" s="14">
        <f>SUM(B18:B21)</f>
        <v>11500</v>
      </c>
      <c r="C22" s="14">
        <f>SUM(C18:C21)</f>
        <v>0</v>
      </c>
      <c r="D22" s="14">
        <f>SUM(D18:D21)</f>
        <v>0</v>
      </c>
      <c r="E22" s="20">
        <f>SUM(E18:E21)</f>
        <v>11500</v>
      </c>
      <c r="F22" s="23">
        <v>0.5</v>
      </c>
      <c r="G22" s="24">
        <f>SUM(G18:G21)</f>
        <v>5750</v>
      </c>
      <c r="H22" s="33">
        <f>SUM(H18:H21)</f>
        <v>1</v>
      </c>
      <c r="I22" s="24">
        <f>SUM(I18:I21)</f>
        <v>5750</v>
      </c>
      <c r="J22" s="33">
        <v>0.25</v>
      </c>
      <c r="K22" s="24">
        <f>J22*E22</f>
        <v>2875</v>
      </c>
    </row>
    <row r="23" spans="1:12">
      <c r="A23" s="4"/>
      <c r="D23" s="6"/>
      <c r="F23" s="37"/>
      <c r="J23" s="38" t="s">
        <v>15</v>
      </c>
      <c r="K23" s="39">
        <f>SUM(K18:K21)</f>
        <v>2875</v>
      </c>
    </row>
    <row r="24" spans="1:12" ht="15.75" thickBot="1">
      <c r="A24" s="4"/>
      <c r="D24" s="6"/>
      <c r="F24" s="37"/>
      <c r="J24" s="38"/>
      <c r="K24" s="39"/>
    </row>
    <row r="25" spans="1:12">
      <c r="A25" s="61" t="s">
        <v>13</v>
      </c>
      <c r="B25" s="62"/>
      <c r="C25" s="62"/>
      <c r="D25" s="62"/>
      <c r="E25" s="63"/>
    </row>
    <row r="26" spans="1:12" ht="15.75" thickBot="1">
      <c r="A26" s="52" t="s">
        <v>12</v>
      </c>
      <c r="B26" s="53"/>
      <c r="C26" s="53"/>
      <c r="D26" s="53"/>
      <c r="E26" s="54"/>
    </row>
    <row r="31" spans="1:12">
      <c r="A31" s="4"/>
      <c r="B31" s="4"/>
      <c r="C31" s="4"/>
      <c r="D31" s="4"/>
      <c r="E31" s="5"/>
      <c r="F31" s="5"/>
    </row>
    <row r="32" spans="1:12">
      <c r="A32" s="4"/>
      <c r="B32" s="4"/>
      <c r="C32" s="4"/>
      <c r="D32" s="4"/>
      <c r="E32" s="5"/>
      <c r="F32" s="5"/>
    </row>
    <row r="33" spans="1:6">
      <c r="A33" s="4"/>
      <c r="B33" s="4"/>
      <c r="C33" s="4"/>
      <c r="D33" s="4"/>
      <c r="E33" s="5"/>
      <c r="F33" s="5"/>
    </row>
    <row r="34" spans="1:6">
      <c r="A34" s="4"/>
      <c r="B34" s="4"/>
      <c r="C34" s="4"/>
      <c r="D34" s="4"/>
      <c r="E34" s="5"/>
      <c r="F34" s="5"/>
    </row>
    <row r="35" spans="1:6">
      <c r="A35" s="4"/>
      <c r="B35" s="4"/>
      <c r="C35" s="4"/>
      <c r="D35" s="4"/>
      <c r="E35" s="5"/>
      <c r="F35" s="5"/>
    </row>
    <row r="36" spans="1:6">
      <c r="A36" s="4"/>
      <c r="B36" s="4"/>
      <c r="C36" s="4"/>
      <c r="D36" s="4"/>
      <c r="E36" s="5"/>
      <c r="F36" s="5"/>
    </row>
    <row r="37" spans="1:6">
      <c r="A37" s="4"/>
      <c r="B37" s="4"/>
      <c r="C37" s="4"/>
      <c r="D37" s="4"/>
      <c r="E37" s="5"/>
      <c r="F37" s="5"/>
    </row>
  </sheetData>
  <mergeCells count="10">
    <mergeCell ref="A25:E25"/>
    <mergeCell ref="A26:E26"/>
    <mergeCell ref="M1:N1"/>
    <mergeCell ref="O1:P1"/>
    <mergeCell ref="L9:P9"/>
    <mergeCell ref="L10:P10"/>
    <mergeCell ref="A14:D14"/>
    <mergeCell ref="F17:G17"/>
    <mergeCell ref="H17:I17"/>
    <mergeCell ref="J17:K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5"/>
  <sheetViews>
    <sheetView workbookViewId="0">
      <selection activeCell="G4" sqref="G4"/>
    </sheetView>
  </sheetViews>
  <sheetFormatPr defaultRowHeight="15"/>
  <cols>
    <col min="1" max="2" width="10.85546875" bestFit="1" customWidth="1"/>
    <col min="3" max="3" width="10.5703125" customWidth="1"/>
    <col min="4" max="4" width="14.5703125" bestFit="1" customWidth="1"/>
    <col min="5" max="5" width="16" customWidth="1"/>
    <col min="6" max="7" width="10.5703125" bestFit="1" customWidth="1"/>
    <col min="8" max="8" width="5.5703125" bestFit="1" customWidth="1"/>
    <col min="9" max="9" width="10.5703125" bestFit="1" customWidth="1"/>
    <col min="10" max="10" width="8.140625" customWidth="1"/>
    <col min="11" max="11" width="10.5703125" bestFit="1" customWidth="1"/>
    <col min="12" max="12" width="16" customWidth="1"/>
    <col min="13" max="13" width="4.5703125" customWidth="1"/>
    <col min="14" max="14" width="11.140625" customWidth="1"/>
    <col min="15" max="15" width="7.28515625" customWidth="1"/>
    <col min="16" max="16" width="11.5703125" customWidth="1"/>
    <col min="17" max="17" width="10.5703125" customWidth="1"/>
  </cols>
  <sheetData>
    <row r="1" spans="1:17" s="2" customForma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M1" s="58"/>
      <c r="N1" s="58"/>
      <c r="O1" s="58"/>
      <c r="P1" s="58"/>
    </row>
    <row r="2" spans="1:17">
      <c r="A2" s="10">
        <v>135</v>
      </c>
      <c r="B2" s="10" t="s">
        <v>21</v>
      </c>
      <c r="C2" s="10">
        <v>1</v>
      </c>
      <c r="D2" s="43" t="s">
        <v>20</v>
      </c>
      <c r="E2" s="11">
        <v>1000</v>
      </c>
      <c r="F2" s="11"/>
      <c r="H2" s="4"/>
      <c r="I2" s="29"/>
      <c r="J2" s="29"/>
      <c r="K2" s="29"/>
      <c r="L2" s="29"/>
      <c r="M2" s="28"/>
      <c r="N2" s="29"/>
      <c r="O2" s="28"/>
      <c r="P2" s="29"/>
      <c r="Q2" s="29"/>
    </row>
    <row r="3" spans="1:17" s="2" customFormat="1">
      <c r="A3" s="10">
        <v>135</v>
      </c>
      <c r="B3" s="10" t="s">
        <v>21</v>
      </c>
      <c r="C3" s="10">
        <v>2</v>
      </c>
      <c r="D3" s="43" t="s">
        <v>20</v>
      </c>
      <c r="E3" s="11">
        <v>1000</v>
      </c>
      <c r="F3" s="11"/>
      <c r="G3"/>
      <c r="H3" s="4"/>
      <c r="I3" s="29"/>
      <c r="J3" s="29"/>
      <c r="L3" s="29"/>
      <c r="M3" s="28"/>
      <c r="N3" s="29"/>
      <c r="O3" s="28"/>
      <c r="P3" s="29"/>
      <c r="Q3" s="29"/>
    </row>
    <row r="4" spans="1:17">
      <c r="A4" s="10">
        <v>135</v>
      </c>
      <c r="B4" s="10" t="s">
        <v>21</v>
      </c>
      <c r="C4" s="10">
        <v>3</v>
      </c>
      <c r="D4" s="43" t="s">
        <v>20</v>
      </c>
      <c r="E4" s="11">
        <v>1000</v>
      </c>
      <c r="F4" s="11"/>
      <c r="G4" s="39"/>
      <c r="H4" s="4"/>
      <c r="I4" s="29"/>
      <c r="J4" s="29"/>
      <c r="K4" s="1"/>
      <c r="L4" s="29"/>
      <c r="M4" s="28"/>
      <c r="N4" s="29"/>
      <c r="O4" s="28"/>
      <c r="P4" s="29"/>
      <c r="Q4" s="29"/>
    </row>
    <row r="5" spans="1:17">
      <c r="A5" s="10">
        <v>135</v>
      </c>
      <c r="B5" s="10" t="s">
        <v>23</v>
      </c>
      <c r="C5" s="10">
        <v>4</v>
      </c>
      <c r="D5" s="43" t="s">
        <v>20</v>
      </c>
      <c r="E5" s="11">
        <v>1000</v>
      </c>
      <c r="F5" s="11"/>
      <c r="H5" s="4"/>
      <c r="I5" s="29"/>
      <c r="J5" s="29"/>
      <c r="K5" s="1"/>
      <c r="L5" s="29"/>
      <c r="M5" s="28"/>
      <c r="N5" s="29"/>
      <c r="O5" s="28"/>
      <c r="P5" s="29"/>
      <c r="Q5" s="29"/>
    </row>
    <row r="6" spans="1:17">
      <c r="A6" s="10">
        <v>135</v>
      </c>
      <c r="B6" s="10" t="s">
        <v>23</v>
      </c>
      <c r="C6" s="10">
        <v>5</v>
      </c>
      <c r="D6" s="43" t="s">
        <v>20</v>
      </c>
      <c r="E6" s="11">
        <v>1000</v>
      </c>
      <c r="F6" s="11"/>
      <c r="H6" s="34"/>
      <c r="I6" s="17"/>
      <c r="J6" s="17"/>
      <c r="K6" s="17"/>
      <c r="L6" s="31"/>
      <c r="M6" s="32"/>
      <c r="N6" s="31"/>
      <c r="O6" s="31"/>
      <c r="P6" s="31"/>
      <c r="Q6" s="29"/>
    </row>
    <row r="7" spans="1:17">
      <c r="A7" s="49">
        <v>135</v>
      </c>
      <c r="B7" s="49" t="s">
        <v>23</v>
      </c>
      <c r="C7" s="49">
        <v>6</v>
      </c>
      <c r="D7" s="50" t="s">
        <v>20</v>
      </c>
      <c r="E7" s="51">
        <v>1000</v>
      </c>
      <c r="F7" s="51"/>
      <c r="H7" s="4"/>
      <c r="I7" s="1"/>
      <c r="J7" s="1"/>
      <c r="K7" s="6"/>
      <c r="L7" s="1"/>
      <c r="M7" s="1"/>
      <c r="N7" s="1"/>
      <c r="O7" s="1"/>
      <c r="P7" s="1"/>
      <c r="Q7" s="1"/>
    </row>
    <row r="8" spans="1:17">
      <c r="A8" s="10">
        <v>135</v>
      </c>
      <c r="B8" s="10" t="s">
        <v>24</v>
      </c>
      <c r="C8" s="10">
        <v>1</v>
      </c>
      <c r="D8" s="43" t="s">
        <v>20</v>
      </c>
      <c r="E8" s="11">
        <v>0</v>
      </c>
      <c r="F8" s="1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10">
        <v>135</v>
      </c>
      <c r="B9" s="10" t="s">
        <v>24</v>
      </c>
      <c r="C9" s="10">
        <v>1</v>
      </c>
      <c r="D9" s="43" t="s">
        <v>20</v>
      </c>
      <c r="E9" s="11">
        <v>0</v>
      </c>
      <c r="F9" s="1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s="36" customFormat="1">
      <c r="A10" s="10">
        <v>135</v>
      </c>
      <c r="B10" s="10" t="s">
        <v>24</v>
      </c>
      <c r="C10" s="10">
        <v>1</v>
      </c>
      <c r="D10" s="43" t="s">
        <v>20</v>
      </c>
      <c r="E10" s="11">
        <v>0</v>
      </c>
      <c r="F10" s="11"/>
      <c r="G10"/>
      <c r="H10" s="35"/>
      <c r="I10" s="35"/>
      <c r="J10" s="35"/>
      <c r="K10" s="35"/>
      <c r="L10" s="56"/>
      <c r="M10" s="56"/>
      <c r="N10" s="56"/>
      <c r="O10" s="56"/>
      <c r="P10" s="56"/>
      <c r="Q10" s="35"/>
    </row>
    <row r="11" spans="1:17">
      <c r="A11" s="10">
        <v>135</v>
      </c>
      <c r="B11" s="10" t="s">
        <v>24</v>
      </c>
      <c r="C11" s="10">
        <v>1</v>
      </c>
      <c r="D11" s="43" t="s">
        <v>20</v>
      </c>
      <c r="E11" s="11">
        <v>0</v>
      </c>
      <c r="F11" s="11"/>
      <c r="H11" s="1"/>
      <c r="I11" s="1"/>
      <c r="J11" s="1"/>
      <c r="K11" s="1"/>
      <c r="L11" s="57"/>
      <c r="M11" s="57"/>
      <c r="N11" s="57"/>
      <c r="O11" s="57"/>
      <c r="P11" s="57"/>
      <c r="Q11" s="1"/>
    </row>
    <row r="12" spans="1:17" ht="15.75">
      <c r="A12" s="55"/>
      <c r="B12" s="55"/>
      <c r="C12" s="55"/>
      <c r="D12" s="55"/>
      <c r="E12" s="7"/>
      <c r="F12" s="7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1"/>
      <c r="B13" s="1"/>
      <c r="C13" s="1"/>
      <c r="D13" s="1"/>
      <c r="E13" s="1"/>
      <c r="F13" s="1"/>
    </row>
    <row r="14" spans="1:17" ht="19.5" thickBot="1">
      <c r="A14" s="16"/>
      <c r="B14" s="3"/>
      <c r="C14" s="3"/>
      <c r="D14" s="3"/>
      <c r="E14" s="3"/>
      <c r="F14" s="3"/>
      <c r="G14" s="3"/>
    </row>
    <row r="15" spans="1:17" ht="30">
      <c r="A15" s="26" t="s">
        <v>6</v>
      </c>
      <c r="B15" s="26" t="s">
        <v>7</v>
      </c>
      <c r="C15" s="26" t="s">
        <v>8</v>
      </c>
      <c r="D15" s="40" t="s">
        <v>16</v>
      </c>
      <c r="E15" s="27" t="s">
        <v>9</v>
      </c>
      <c r="F15" s="59" t="s">
        <v>10</v>
      </c>
      <c r="G15" s="60"/>
      <c r="H15" s="59" t="s">
        <v>11</v>
      </c>
      <c r="I15" s="60"/>
      <c r="J15" s="64" t="s">
        <v>14</v>
      </c>
      <c r="K15" s="65"/>
    </row>
    <row r="16" spans="1:17">
      <c r="A16" s="10" t="s">
        <v>21</v>
      </c>
      <c r="B16" s="13">
        <f>SUMIF($B$2:$B$11,A16,$E$2:$E$11)</f>
        <v>3000</v>
      </c>
      <c r="C16" s="13"/>
      <c r="D16" s="13"/>
      <c r="E16" s="19">
        <f>B16-C16-D16</f>
        <v>3000</v>
      </c>
      <c r="F16" s="21">
        <v>0.5</v>
      </c>
      <c r="G16" s="25">
        <f>F16*E16</f>
        <v>1500</v>
      </c>
      <c r="H16" s="21">
        <f>B16/$B$20</f>
        <v>0.5</v>
      </c>
      <c r="I16" s="25">
        <f>H16*$G$20</f>
        <v>1500</v>
      </c>
      <c r="J16" s="21">
        <f>B16/$B$20</f>
        <v>0.5</v>
      </c>
      <c r="K16" s="25">
        <f>$K$20*J16</f>
        <v>750</v>
      </c>
    </row>
    <row r="17" spans="1:12">
      <c r="A17" s="10" t="s">
        <v>22</v>
      </c>
      <c r="B17" s="13">
        <f>SUMIF($B$2:$B$11,A17,$E$2:$E$11)</f>
        <v>0</v>
      </c>
      <c r="C17" s="13"/>
      <c r="D17" s="9"/>
      <c r="E17" s="19">
        <f>B17-C17-D17</f>
        <v>0</v>
      </c>
      <c r="F17" s="21">
        <v>0.5</v>
      </c>
      <c r="G17" s="25">
        <f>F17*E17</f>
        <v>0</v>
      </c>
      <c r="H17" s="21">
        <f>B17/$B$20</f>
        <v>0</v>
      </c>
      <c r="I17" s="25">
        <f>H17*$G$20</f>
        <v>0</v>
      </c>
      <c r="J17" s="21">
        <f t="shared" ref="J17:J19" si="0">B17/$B$20</f>
        <v>0</v>
      </c>
      <c r="K17" s="25">
        <f t="shared" ref="K17:K19" si="1">$K$20*J17</f>
        <v>0</v>
      </c>
    </row>
    <row r="18" spans="1:12">
      <c r="A18" s="10" t="s">
        <v>23</v>
      </c>
      <c r="B18" s="13">
        <f>SUMIF($B$2:$B$11,A18,$E$2:$E$11)</f>
        <v>3000</v>
      </c>
      <c r="C18" s="13"/>
      <c r="D18" s="12"/>
      <c r="E18" s="19">
        <f>B18-C18-D18</f>
        <v>3000</v>
      </c>
      <c r="F18" s="21">
        <v>0.5</v>
      </c>
      <c r="G18" s="25">
        <f>F18*E18</f>
        <v>1500</v>
      </c>
      <c r="H18" s="21">
        <f>B18/$B$20</f>
        <v>0.5</v>
      </c>
      <c r="I18" s="25">
        <f>H18*$G$20</f>
        <v>1500</v>
      </c>
      <c r="J18" s="21">
        <f t="shared" si="0"/>
        <v>0.5</v>
      </c>
      <c r="K18" s="25">
        <f t="shared" si="1"/>
        <v>750</v>
      </c>
    </row>
    <row r="19" spans="1:12">
      <c r="A19" s="10" t="s">
        <v>24</v>
      </c>
      <c r="B19" s="13">
        <f>SUMIF($B$2:$B$11,A19,$E$2:$E$11)</f>
        <v>0</v>
      </c>
      <c r="C19" s="13"/>
      <c r="D19" s="12"/>
      <c r="E19" s="19">
        <f>B19-C19-D19</f>
        <v>0</v>
      </c>
      <c r="F19" s="21">
        <v>0.5</v>
      </c>
      <c r="G19" s="25">
        <f>F19*E19</f>
        <v>0</v>
      </c>
      <c r="H19" s="21">
        <f>B19/$B$20</f>
        <v>0</v>
      </c>
      <c r="I19" s="25">
        <f>H19*$G$20</f>
        <v>0</v>
      </c>
      <c r="J19" s="21">
        <f t="shared" si="0"/>
        <v>0</v>
      </c>
      <c r="K19" s="25">
        <f t="shared" si="1"/>
        <v>0</v>
      </c>
      <c r="L19" s="38"/>
    </row>
    <row r="20" spans="1:12" ht="15.75" thickBot="1">
      <c r="A20" s="18" t="s">
        <v>7</v>
      </c>
      <c r="B20" s="14">
        <f>SUM(B16:B19)</f>
        <v>6000</v>
      </c>
      <c r="C20" s="14">
        <f>SUM(C16:C19)</f>
        <v>0</v>
      </c>
      <c r="D20" s="14">
        <f>SUM(D16:D19)</f>
        <v>0</v>
      </c>
      <c r="E20" s="20">
        <f>SUM(E16:E19)</f>
        <v>6000</v>
      </c>
      <c r="F20" s="23">
        <v>0.5</v>
      </c>
      <c r="G20" s="24">
        <f>SUM(G16:G19)</f>
        <v>3000</v>
      </c>
      <c r="H20" s="33">
        <f>SUM(H16:H19)</f>
        <v>1</v>
      </c>
      <c r="I20" s="24">
        <f>SUM(I16:I19)</f>
        <v>3000</v>
      </c>
      <c r="J20" s="33">
        <v>0.25</v>
      </c>
      <c r="K20" s="24">
        <f>J20*E20</f>
        <v>1500</v>
      </c>
    </row>
    <row r="21" spans="1:12">
      <c r="A21" s="4"/>
      <c r="D21" s="6"/>
      <c r="E21" s="39"/>
      <c r="F21" s="37"/>
      <c r="J21" s="38" t="s">
        <v>15</v>
      </c>
      <c r="K21" s="39">
        <f>SUM(K16:K19)</f>
        <v>1500</v>
      </c>
    </row>
    <row r="22" spans="1:12" ht="15.75" thickBot="1">
      <c r="A22" s="4"/>
      <c r="D22" s="6"/>
      <c r="F22" s="37"/>
      <c r="J22" s="38"/>
      <c r="K22" s="39"/>
    </row>
    <row r="23" spans="1:12">
      <c r="A23" s="61" t="s">
        <v>13</v>
      </c>
      <c r="B23" s="62"/>
      <c r="C23" s="62"/>
      <c r="D23" s="62"/>
      <c r="E23" s="63"/>
    </row>
    <row r="24" spans="1:12" ht="15.75" thickBot="1">
      <c r="A24" s="52" t="s">
        <v>12</v>
      </c>
      <c r="B24" s="53"/>
      <c r="C24" s="53"/>
      <c r="D24" s="53"/>
      <c r="E24" s="54"/>
    </row>
    <row r="29" spans="1:12">
      <c r="A29" s="4"/>
      <c r="B29" s="4"/>
      <c r="C29" s="4"/>
      <c r="D29" s="4"/>
      <c r="E29" s="5"/>
      <c r="F29" s="5"/>
    </row>
    <row r="30" spans="1:12">
      <c r="A30" s="4"/>
      <c r="B30" s="4"/>
      <c r="C30" s="4"/>
      <c r="D30" s="4"/>
      <c r="E30" s="5"/>
      <c r="F30" s="5"/>
    </row>
    <row r="31" spans="1:12">
      <c r="A31" s="4"/>
      <c r="B31" s="4"/>
      <c r="C31" s="4"/>
      <c r="D31" s="4"/>
      <c r="E31" s="5"/>
      <c r="F31" s="5"/>
    </row>
    <row r="32" spans="1:12">
      <c r="A32" s="4"/>
      <c r="B32" s="4"/>
      <c r="C32" s="4"/>
      <c r="D32" s="4"/>
      <c r="E32" s="5"/>
      <c r="F32" s="5"/>
    </row>
    <row r="33" spans="1:6">
      <c r="A33" s="4"/>
      <c r="B33" s="4"/>
      <c r="C33" s="4"/>
      <c r="D33" s="4"/>
      <c r="E33" s="5"/>
      <c r="F33" s="5"/>
    </row>
    <row r="34" spans="1:6">
      <c r="A34" s="4"/>
      <c r="B34" s="4"/>
      <c r="C34" s="4"/>
      <c r="D34" s="4"/>
      <c r="E34" s="5"/>
      <c r="F34" s="5"/>
    </row>
    <row r="35" spans="1:6">
      <c r="A35" s="4"/>
      <c r="B35" s="4"/>
      <c r="C35" s="4"/>
      <c r="D35" s="4"/>
      <c r="E35" s="5"/>
      <c r="F35" s="5"/>
    </row>
  </sheetData>
  <mergeCells count="10">
    <mergeCell ref="A23:E23"/>
    <mergeCell ref="A24:E24"/>
    <mergeCell ref="M1:N1"/>
    <mergeCell ref="O1:P1"/>
    <mergeCell ref="L10:P10"/>
    <mergeCell ref="L11:P11"/>
    <mergeCell ref="A12:D12"/>
    <mergeCell ref="F15:G15"/>
    <mergeCell ref="H15:I15"/>
    <mergeCell ref="J15:K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5"/>
  <sheetViews>
    <sheetView workbookViewId="0">
      <selection activeCell="H6" sqref="H6"/>
    </sheetView>
  </sheetViews>
  <sheetFormatPr defaultRowHeight="15"/>
  <cols>
    <col min="1" max="2" width="10.85546875" bestFit="1" customWidth="1"/>
    <col min="3" max="3" width="10.5703125" customWidth="1"/>
    <col min="4" max="4" width="14.5703125" bestFit="1" customWidth="1"/>
    <col min="5" max="5" width="16" customWidth="1"/>
    <col min="6" max="7" width="10.5703125" bestFit="1" customWidth="1"/>
    <col min="8" max="8" width="5.5703125" bestFit="1" customWidth="1"/>
    <col min="9" max="9" width="10.5703125" bestFit="1" customWidth="1"/>
    <col min="10" max="10" width="8.140625" customWidth="1"/>
    <col min="11" max="11" width="10.5703125" bestFit="1" customWidth="1"/>
    <col min="12" max="12" width="16" customWidth="1"/>
    <col min="13" max="13" width="4.5703125" customWidth="1"/>
    <col min="14" max="14" width="11.140625" customWidth="1"/>
    <col min="15" max="15" width="7.28515625" customWidth="1"/>
    <col min="16" max="16" width="11.5703125" customWidth="1"/>
    <col min="17" max="17" width="10.5703125" customWidth="1"/>
  </cols>
  <sheetData>
    <row r="1" spans="1:17" s="2" customForma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M1" s="58"/>
      <c r="N1" s="58"/>
      <c r="O1" s="58"/>
      <c r="P1" s="58"/>
    </row>
    <row r="2" spans="1:17">
      <c r="A2" s="10">
        <v>135</v>
      </c>
      <c r="B2" s="10" t="s">
        <v>21</v>
      </c>
      <c r="C2" s="10">
        <v>1</v>
      </c>
      <c r="D2" s="43" t="s">
        <v>19</v>
      </c>
      <c r="E2" s="11">
        <v>1000</v>
      </c>
      <c r="F2" s="11"/>
      <c r="H2" s="4"/>
      <c r="I2" s="29"/>
      <c r="J2" s="29"/>
      <c r="K2" s="29"/>
      <c r="L2" s="29"/>
      <c r="M2" s="28"/>
      <c r="N2" s="29"/>
      <c r="O2" s="28"/>
      <c r="P2" s="29"/>
      <c r="Q2" s="29"/>
    </row>
    <row r="3" spans="1:17" s="2" customFormat="1">
      <c r="A3" s="49">
        <v>135</v>
      </c>
      <c r="B3" s="49" t="s">
        <v>21</v>
      </c>
      <c r="C3" s="49">
        <v>2</v>
      </c>
      <c r="D3" s="50" t="s">
        <v>19</v>
      </c>
      <c r="E3" s="51">
        <v>1000</v>
      </c>
      <c r="F3" s="51"/>
      <c r="G3"/>
      <c r="H3" s="4"/>
      <c r="I3" s="29"/>
      <c r="J3" s="29"/>
      <c r="L3" s="29"/>
      <c r="M3" s="28"/>
      <c r="N3" s="29"/>
      <c r="O3" s="28"/>
      <c r="P3" s="29"/>
      <c r="Q3" s="29"/>
    </row>
    <row r="4" spans="1:17">
      <c r="A4" s="10">
        <v>135</v>
      </c>
      <c r="B4" s="10" t="s">
        <v>21</v>
      </c>
      <c r="C4" s="10">
        <v>1</v>
      </c>
      <c r="D4" s="43" t="s">
        <v>19</v>
      </c>
      <c r="E4" s="11">
        <v>0</v>
      </c>
      <c r="F4" s="11"/>
      <c r="H4" s="4"/>
      <c r="I4" s="29"/>
      <c r="J4" s="29"/>
      <c r="K4" s="1"/>
      <c r="L4" s="29"/>
      <c r="M4" s="28"/>
      <c r="N4" s="29"/>
      <c r="O4" s="28"/>
      <c r="P4" s="29"/>
      <c r="Q4" s="29"/>
    </row>
    <row r="5" spans="1:17">
      <c r="A5" s="10">
        <v>135</v>
      </c>
      <c r="B5" s="10" t="s">
        <v>21</v>
      </c>
      <c r="C5" s="10">
        <v>2</v>
      </c>
      <c r="D5" s="43" t="s">
        <v>19</v>
      </c>
      <c r="E5" s="11">
        <v>0</v>
      </c>
      <c r="F5" s="11"/>
      <c r="H5" s="4"/>
      <c r="I5" s="29"/>
      <c r="J5" s="29"/>
      <c r="K5" s="1"/>
      <c r="L5" s="29"/>
      <c r="M5" s="28"/>
      <c r="N5" s="29"/>
      <c r="O5" s="28"/>
      <c r="P5" s="29"/>
      <c r="Q5" s="29"/>
    </row>
    <row r="6" spans="1:17">
      <c r="A6" s="10">
        <v>135</v>
      </c>
      <c r="B6" s="10" t="s">
        <v>22</v>
      </c>
      <c r="C6" s="10">
        <v>2</v>
      </c>
      <c r="D6" s="43" t="s">
        <v>19</v>
      </c>
      <c r="E6" s="11">
        <v>0</v>
      </c>
      <c r="F6" s="11"/>
      <c r="H6" s="34"/>
      <c r="I6" s="17"/>
      <c r="J6" s="17"/>
      <c r="K6" s="17"/>
      <c r="L6" s="31"/>
      <c r="M6" s="32"/>
      <c r="N6" s="31"/>
      <c r="O6" s="31"/>
      <c r="P6" s="31"/>
      <c r="Q6" s="29"/>
    </row>
    <row r="7" spans="1:17">
      <c r="A7" s="10">
        <v>135</v>
      </c>
      <c r="B7" s="10" t="s">
        <v>23</v>
      </c>
      <c r="C7" s="10">
        <v>2</v>
      </c>
      <c r="D7" s="43" t="s">
        <v>19</v>
      </c>
      <c r="E7" s="11">
        <v>0</v>
      </c>
      <c r="F7" s="11"/>
      <c r="H7" s="4"/>
      <c r="I7" s="1"/>
      <c r="J7" s="1"/>
      <c r="K7" s="6"/>
      <c r="L7" s="1"/>
      <c r="M7" s="1"/>
      <c r="N7" s="1"/>
      <c r="O7" s="1"/>
      <c r="P7" s="1"/>
      <c r="Q7" s="1"/>
    </row>
    <row r="8" spans="1:17">
      <c r="A8" s="10">
        <v>135</v>
      </c>
      <c r="B8" s="10" t="s">
        <v>23</v>
      </c>
      <c r="C8" s="10">
        <v>2</v>
      </c>
      <c r="D8" s="43" t="s">
        <v>19</v>
      </c>
      <c r="E8" s="11">
        <v>0</v>
      </c>
      <c r="F8" s="1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10">
        <v>135</v>
      </c>
      <c r="B9" s="10" t="s">
        <v>23</v>
      </c>
      <c r="C9" s="10">
        <v>1</v>
      </c>
      <c r="D9" s="43" t="s">
        <v>19</v>
      </c>
      <c r="E9" s="11">
        <v>0</v>
      </c>
      <c r="F9" s="1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s="36" customFormat="1">
      <c r="A10" s="10">
        <v>135</v>
      </c>
      <c r="B10" s="10" t="s">
        <v>23</v>
      </c>
      <c r="C10" s="10">
        <v>1</v>
      </c>
      <c r="D10" s="43" t="s">
        <v>19</v>
      </c>
      <c r="E10" s="11">
        <v>0</v>
      </c>
      <c r="F10" s="11"/>
      <c r="G10"/>
      <c r="H10" s="35"/>
      <c r="I10" s="35"/>
      <c r="J10" s="35"/>
      <c r="K10" s="35"/>
      <c r="L10" s="56"/>
      <c r="M10" s="56"/>
      <c r="N10" s="56"/>
      <c r="O10" s="56"/>
      <c r="P10" s="56"/>
      <c r="Q10" s="35"/>
    </row>
    <row r="11" spans="1:17">
      <c r="A11" s="10">
        <v>135</v>
      </c>
      <c r="B11" s="10" t="s">
        <v>24</v>
      </c>
      <c r="C11" s="10">
        <v>1</v>
      </c>
      <c r="D11" s="43" t="s">
        <v>19</v>
      </c>
      <c r="E11" s="11">
        <v>0</v>
      </c>
      <c r="F11" s="11"/>
      <c r="H11" s="1"/>
      <c r="I11" s="1"/>
      <c r="J11" s="1"/>
      <c r="K11" s="1"/>
      <c r="L11" s="57"/>
      <c r="M11" s="57"/>
      <c r="N11" s="57"/>
      <c r="O11" s="57"/>
      <c r="P11" s="57"/>
      <c r="Q11" s="1"/>
    </row>
    <row r="12" spans="1:17" ht="15.75">
      <c r="A12" s="55"/>
      <c r="B12" s="55"/>
      <c r="C12" s="55"/>
      <c r="D12" s="55"/>
      <c r="E12" s="7"/>
      <c r="F12" s="7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1"/>
      <c r="B13" s="1"/>
      <c r="C13" s="1"/>
      <c r="D13" s="1"/>
      <c r="E13" s="1"/>
      <c r="F13" s="1"/>
    </row>
    <row r="14" spans="1:17" ht="19.5" thickBot="1">
      <c r="A14" s="16"/>
      <c r="B14" s="3"/>
      <c r="C14" s="3"/>
      <c r="D14" s="3"/>
      <c r="E14" s="3"/>
      <c r="F14" s="3"/>
      <c r="G14" s="3"/>
    </row>
    <row r="15" spans="1:17" ht="30">
      <c r="A15" s="26" t="s">
        <v>6</v>
      </c>
      <c r="B15" s="26" t="s">
        <v>7</v>
      </c>
      <c r="C15" s="26" t="s">
        <v>8</v>
      </c>
      <c r="D15" s="40" t="s">
        <v>16</v>
      </c>
      <c r="E15" s="27" t="s">
        <v>9</v>
      </c>
      <c r="F15" s="59" t="s">
        <v>10</v>
      </c>
      <c r="G15" s="60"/>
      <c r="H15" s="59" t="s">
        <v>11</v>
      </c>
      <c r="I15" s="60"/>
      <c r="J15" s="64" t="s">
        <v>14</v>
      </c>
      <c r="K15" s="65"/>
    </row>
    <row r="16" spans="1:17">
      <c r="A16" s="10" t="s">
        <v>21</v>
      </c>
      <c r="B16" s="13">
        <f>SUMIF($B$2:$B$11,A16,$E$2:$E$11)</f>
        <v>2000</v>
      </c>
      <c r="C16" s="13"/>
      <c r="D16" s="13"/>
      <c r="E16" s="19">
        <f>B16-C16-D16</f>
        <v>2000</v>
      </c>
      <c r="F16" s="21">
        <v>0.5</v>
      </c>
      <c r="G16" s="25">
        <f>F16*E16</f>
        <v>1000</v>
      </c>
      <c r="H16" s="21">
        <f>B16/$B$20</f>
        <v>1</v>
      </c>
      <c r="I16" s="25">
        <f>H16*$G$20</f>
        <v>1000</v>
      </c>
      <c r="J16" s="21">
        <f>B16/$B$20</f>
        <v>1</v>
      </c>
      <c r="K16" s="25">
        <f>$K$20*J16</f>
        <v>500</v>
      </c>
    </row>
    <row r="17" spans="1:12">
      <c r="A17" s="10" t="s">
        <v>22</v>
      </c>
      <c r="B17" s="13">
        <f>SUMIF($B$2:$B$11,A17,$E$2:$E$11)</f>
        <v>0</v>
      </c>
      <c r="C17" s="13"/>
      <c r="D17" s="9"/>
      <c r="E17" s="19">
        <f>B17-C17-D17</f>
        <v>0</v>
      </c>
      <c r="F17" s="21">
        <v>0.5</v>
      </c>
      <c r="G17" s="25">
        <f>F17*E17</f>
        <v>0</v>
      </c>
      <c r="H17" s="21">
        <f>B17/$B$20</f>
        <v>0</v>
      </c>
      <c r="I17" s="25">
        <f>H17*$G$20</f>
        <v>0</v>
      </c>
      <c r="J17" s="21">
        <f t="shared" ref="J17:J19" si="0">B17/$B$20</f>
        <v>0</v>
      </c>
      <c r="K17" s="25">
        <f t="shared" ref="K17:K19" si="1">$K$20*J17</f>
        <v>0</v>
      </c>
    </row>
    <row r="18" spans="1:12">
      <c r="A18" s="10" t="s">
        <v>23</v>
      </c>
      <c r="B18" s="13">
        <f>SUMIF($B$2:$B$11,A18,$E$2:$E$11)</f>
        <v>0</v>
      </c>
      <c r="C18" s="13"/>
      <c r="D18" s="12"/>
      <c r="E18" s="19">
        <f>B18-C18-D18</f>
        <v>0</v>
      </c>
      <c r="F18" s="21">
        <v>0.5</v>
      </c>
      <c r="G18" s="25">
        <f>F18*E18</f>
        <v>0</v>
      </c>
      <c r="H18" s="21">
        <f>B18/$B$20</f>
        <v>0</v>
      </c>
      <c r="I18" s="25">
        <f>H18*$G$20</f>
        <v>0</v>
      </c>
      <c r="J18" s="21">
        <f t="shared" si="0"/>
        <v>0</v>
      </c>
      <c r="K18" s="25">
        <f t="shared" si="1"/>
        <v>0</v>
      </c>
    </row>
    <row r="19" spans="1:12">
      <c r="A19" s="10" t="s">
        <v>24</v>
      </c>
      <c r="B19" s="13">
        <f>SUMIF($B$2:$B$11,A19,$E$2:$E$11)</f>
        <v>0</v>
      </c>
      <c r="C19" s="13"/>
      <c r="D19" s="12"/>
      <c r="E19" s="19">
        <f>B19-C19-D19</f>
        <v>0</v>
      </c>
      <c r="F19" s="21">
        <v>0.5</v>
      </c>
      <c r="G19" s="25">
        <f>F19*E19</f>
        <v>0</v>
      </c>
      <c r="H19" s="21">
        <f>B19/$B$20</f>
        <v>0</v>
      </c>
      <c r="I19" s="25">
        <f>H19*$G$20</f>
        <v>0</v>
      </c>
      <c r="J19" s="21">
        <f t="shared" si="0"/>
        <v>0</v>
      </c>
      <c r="K19" s="25">
        <f t="shared" si="1"/>
        <v>0</v>
      </c>
      <c r="L19" s="38"/>
    </row>
    <row r="20" spans="1:12" ht="15.75" thickBot="1">
      <c r="A20" s="18" t="s">
        <v>7</v>
      </c>
      <c r="B20" s="14">
        <f>SUM(B16:B19)</f>
        <v>2000</v>
      </c>
      <c r="C20" s="14">
        <f>SUM(C16:C19)</f>
        <v>0</v>
      </c>
      <c r="D20" s="14">
        <f>SUM(D16:D19)</f>
        <v>0</v>
      </c>
      <c r="E20" s="20">
        <f>SUM(E16:E19)</f>
        <v>2000</v>
      </c>
      <c r="F20" s="23">
        <v>0.5</v>
      </c>
      <c r="G20" s="24">
        <f>SUM(G16:G19)</f>
        <v>1000</v>
      </c>
      <c r="H20" s="33">
        <f>SUM(H16:H19)</f>
        <v>1</v>
      </c>
      <c r="I20" s="24">
        <f>SUM(I16:I19)</f>
        <v>1000</v>
      </c>
      <c r="J20" s="33">
        <v>0.25</v>
      </c>
      <c r="K20" s="24">
        <f>J20*E20</f>
        <v>500</v>
      </c>
    </row>
    <row r="21" spans="1:12">
      <c r="A21" s="4"/>
      <c r="D21" s="6"/>
      <c r="F21" s="37"/>
      <c r="J21" s="38" t="s">
        <v>15</v>
      </c>
      <c r="K21" s="39">
        <f>SUM(K16:K19)</f>
        <v>500</v>
      </c>
    </row>
    <row r="22" spans="1:12" ht="15.75" thickBot="1">
      <c r="A22" s="4"/>
      <c r="D22" s="6"/>
      <c r="F22" s="37"/>
      <c r="J22" s="38"/>
      <c r="K22" s="39"/>
    </row>
    <row r="23" spans="1:12">
      <c r="A23" s="61" t="s">
        <v>13</v>
      </c>
      <c r="B23" s="62"/>
      <c r="C23" s="62"/>
      <c r="D23" s="62"/>
      <c r="E23" s="63"/>
    </row>
    <row r="24" spans="1:12" ht="15.75" thickBot="1">
      <c r="A24" s="52" t="s">
        <v>12</v>
      </c>
      <c r="B24" s="53"/>
      <c r="C24" s="53"/>
      <c r="D24" s="53"/>
      <c r="E24" s="54"/>
    </row>
    <row r="29" spans="1:12">
      <c r="A29" s="4"/>
      <c r="B29" s="4"/>
      <c r="C29" s="4"/>
      <c r="D29" s="4"/>
      <c r="E29" s="5"/>
      <c r="F29" s="5"/>
    </row>
    <row r="30" spans="1:12">
      <c r="A30" s="4"/>
      <c r="B30" s="4"/>
      <c r="C30" s="4"/>
      <c r="D30" s="4"/>
      <c r="E30" s="5"/>
      <c r="F30" s="5"/>
    </row>
    <row r="31" spans="1:12">
      <c r="A31" s="4"/>
      <c r="B31" s="4"/>
      <c r="C31" s="4"/>
      <c r="D31" s="4"/>
      <c r="E31" s="5"/>
      <c r="F31" s="5"/>
    </row>
    <row r="32" spans="1:12">
      <c r="A32" s="4"/>
      <c r="B32" s="4"/>
      <c r="C32" s="4"/>
      <c r="D32" s="4"/>
      <c r="E32" s="5"/>
      <c r="F32" s="5"/>
    </row>
    <row r="33" spans="1:6">
      <c r="A33" s="4"/>
      <c r="B33" s="4"/>
      <c r="C33" s="4"/>
      <c r="D33" s="4"/>
      <c r="E33" s="5"/>
      <c r="F33" s="5"/>
    </row>
    <row r="34" spans="1:6">
      <c r="A34" s="4"/>
      <c r="B34" s="4"/>
      <c r="C34" s="4"/>
      <c r="D34" s="4"/>
      <c r="E34" s="5"/>
      <c r="F34" s="5"/>
    </row>
    <row r="35" spans="1:6">
      <c r="A35" s="4"/>
      <c r="B35" s="4"/>
      <c r="C35" s="4"/>
      <c r="D35" s="4"/>
      <c r="E35" s="5"/>
      <c r="F35" s="5"/>
    </row>
  </sheetData>
  <mergeCells count="10">
    <mergeCell ref="A23:E23"/>
    <mergeCell ref="A24:E24"/>
    <mergeCell ref="M1:N1"/>
    <mergeCell ref="O1:P1"/>
    <mergeCell ref="L10:P10"/>
    <mergeCell ref="L11:P11"/>
    <mergeCell ref="A12:D12"/>
    <mergeCell ref="F15:G15"/>
    <mergeCell ref="H15:I15"/>
    <mergeCell ref="J15:K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>
      <selection activeCell="I17" sqref="I17"/>
    </sheetView>
  </sheetViews>
  <sheetFormatPr defaultRowHeight="15"/>
  <cols>
    <col min="1" max="1" width="10" bestFit="1" customWidth="1"/>
    <col min="2" max="2" width="14.7109375" customWidth="1"/>
    <col min="3" max="3" width="10.5703125" bestFit="1" customWidth="1"/>
    <col min="4" max="4" width="12.42578125" bestFit="1" customWidth="1"/>
    <col min="5" max="5" width="13.42578125" customWidth="1"/>
    <col min="6" max="7" width="10.5703125" bestFit="1" customWidth="1"/>
    <col min="8" max="8" width="5.5703125" bestFit="1" customWidth="1"/>
    <col min="9" max="9" width="10.5703125" bestFit="1" customWidth="1"/>
    <col min="10" max="10" width="6.5703125" bestFit="1" customWidth="1"/>
    <col min="11" max="11" width="10.5703125" bestFit="1" customWidth="1"/>
  </cols>
  <sheetData>
    <row r="1" spans="1:1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2"/>
      <c r="H1" s="2"/>
      <c r="I1" s="2"/>
      <c r="J1" s="2"/>
      <c r="K1" s="2"/>
    </row>
    <row r="2" spans="1:11">
      <c r="A2" s="10">
        <v>135</v>
      </c>
      <c r="B2" s="43" t="s">
        <v>21</v>
      </c>
      <c r="C2" s="10">
        <v>1</v>
      </c>
      <c r="D2" s="43" t="s">
        <v>17</v>
      </c>
      <c r="E2" s="11">
        <v>1000</v>
      </c>
      <c r="F2" s="11"/>
      <c r="H2" s="4"/>
      <c r="I2" s="29"/>
      <c r="J2" s="29"/>
      <c r="K2" s="29"/>
    </row>
    <row r="3" spans="1:11">
      <c r="A3" s="10">
        <v>135</v>
      </c>
      <c r="B3" s="10" t="s">
        <v>21</v>
      </c>
      <c r="C3" s="10">
        <v>2</v>
      </c>
      <c r="D3" s="43" t="s">
        <v>17</v>
      </c>
      <c r="E3" s="11">
        <v>1000</v>
      </c>
      <c r="F3" s="11"/>
      <c r="H3" s="4"/>
      <c r="I3" s="29"/>
      <c r="J3" s="29"/>
      <c r="K3" s="2"/>
    </row>
    <row r="4" spans="1:11">
      <c r="A4" s="49">
        <v>135</v>
      </c>
      <c r="B4" s="49" t="s">
        <v>21</v>
      </c>
      <c r="C4" s="49">
        <v>3</v>
      </c>
      <c r="D4" s="50" t="s">
        <v>17</v>
      </c>
      <c r="E4" s="51">
        <v>100</v>
      </c>
      <c r="F4" s="51">
        <v>500</v>
      </c>
      <c r="H4" s="4"/>
      <c r="I4" s="29"/>
      <c r="J4" s="29"/>
      <c r="K4" s="1"/>
    </row>
    <row r="5" spans="1:11">
      <c r="A5" s="10">
        <v>135</v>
      </c>
      <c r="B5" s="10" t="s">
        <v>21</v>
      </c>
      <c r="C5" s="10">
        <v>1</v>
      </c>
      <c r="D5" s="43" t="s">
        <v>17</v>
      </c>
      <c r="E5" s="11">
        <v>1000</v>
      </c>
      <c r="F5" s="11"/>
      <c r="H5" s="4"/>
      <c r="I5" s="29"/>
      <c r="J5" s="29"/>
      <c r="K5" s="1"/>
    </row>
    <row r="6" spans="1:11">
      <c r="A6" s="10">
        <v>135</v>
      </c>
      <c r="B6" s="10" t="s">
        <v>22</v>
      </c>
      <c r="C6" s="10">
        <v>4</v>
      </c>
      <c r="D6" s="43" t="s">
        <v>17</v>
      </c>
      <c r="E6" s="11">
        <v>1000</v>
      </c>
      <c r="F6" s="11"/>
      <c r="H6" s="42"/>
      <c r="I6" s="17"/>
      <c r="J6" s="17"/>
      <c r="K6" s="17"/>
    </row>
    <row r="7" spans="1:11">
      <c r="A7" s="10">
        <v>135</v>
      </c>
      <c r="B7" s="10" t="s">
        <v>23</v>
      </c>
      <c r="C7" s="10">
        <v>5</v>
      </c>
      <c r="D7" s="43" t="s">
        <v>17</v>
      </c>
      <c r="E7" s="11">
        <v>1000</v>
      </c>
      <c r="F7" s="11"/>
      <c r="H7" s="4"/>
      <c r="I7" s="1"/>
      <c r="J7" s="1"/>
      <c r="K7" s="6"/>
    </row>
    <row r="8" spans="1:11">
      <c r="A8" s="10">
        <v>135</v>
      </c>
      <c r="B8" s="10" t="s">
        <v>23</v>
      </c>
      <c r="C8" s="10">
        <v>6</v>
      </c>
      <c r="D8" s="43" t="s">
        <v>17</v>
      </c>
      <c r="E8" s="11">
        <v>1000</v>
      </c>
      <c r="F8" s="11"/>
      <c r="H8" s="1"/>
      <c r="I8" s="1"/>
      <c r="J8" s="1"/>
      <c r="K8" s="1"/>
    </row>
    <row r="9" spans="1:11">
      <c r="A9" s="10">
        <v>135</v>
      </c>
      <c r="B9" s="10" t="s">
        <v>23</v>
      </c>
      <c r="C9" s="10">
        <v>1</v>
      </c>
      <c r="D9" s="43" t="s">
        <v>17</v>
      </c>
      <c r="E9" s="11">
        <v>1000</v>
      </c>
      <c r="F9" s="11"/>
      <c r="H9" s="1"/>
      <c r="I9" s="1"/>
      <c r="J9" s="1"/>
      <c r="K9" s="1"/>
    </row>
    <row r="10" spans="1:11">
      <c r="A10" s="10">
        <v>135</v>
      </c>
      <c r="B10" s="10" t="s">
        <v>23</v>
      </c>
      <c r="C10" s="10">
        <v>1</v>
      </c>
      <c r="D10" s="43" t="s">
        <v>17</v>
      </c>
      <c r="E10" s="11">
        <v>1000</v>
      </c>
      <c r="F10" s="11"/>
      <c r="H10" s="35"/>
      <c r="I10" s="35"/>
      <c r="J10" s="35"/>
      <c r="K10" s="35"/>
    </row>
    <row r="11" spans="1:11">
      <c r="A11" s="10">
        <v>135</v>
      </c>
      <c r="B11" s="10" t="s">
        <v>24</v>
      </c>
      <c r="C11" s="10">
        <v>1</v>
      </c>
      <c r="D11" s="43" t="s">
        <v>17</v>
      </c>
      <c r="E11" s="11">
        <v>1000</v>
      </c>
      <c r="F11" s="11"/>
      <c r="H11" s="1"/>
      <c r="I11" s="1"/>
      <c r="J11" s="1"/>
      <c r="K11" s="1"/>
    </row>
    <row r="12" spans="1:11" ht="16.5" thickBot="1">
      <c r="A12" s="55"/>
      <c r="B12" s="55"/>
      <c r="C12" s="55"/>
      <c r="D12" s="55"/>
      <c r="E12" s="7"/>
      <c r="F12" s="7"/>
      <c r="H12" s="1"/>
      <c r="I12" s="1"/>
      <c r="J12" s="1"/>
      <c r="K12" s="1"/>
    </row>
    <row r="13" spans="1:11" ht="16.5" thickBot="1">
      <c r="A13" s="41"/>
      <c r="B13" s="41"/>
      <c r="C13" s="41"/>
      <c r="D13" s="92" t="s">
        <v>29</v>
      </c>
      <c r="E13" s="93"/>
      <c r="F13" s="94"/>
      <c r="H13" s="1"/>
      <c r="I13" s="1"/>
      <c r="J13" s="1"/>
      <c r="K13" s="1"/>
    </row>
    <row r="14" spans="1:11" ht="30">
      <c r="A14" s="26" t="s">
        <v>28</v>
      </c>
      <c r="B14" s="75" t="s">
        <v>27</v>
      </c>
      <c r="C14" s="67" t="s">
        <v>33</v>
      </c>
      <c r="D14" s="78" t="s">
        <v>30</v>
      </c>
      <c r="E14" s="79" t="s">
        <v>31</v>
      </c>
      <c r="F14" s="80" t="s">
        <v>32</v>
      </c>
      <c r="G14" s="35"/>
      <c r="H14" s="35"/>
      <c r="I14" s="35"/>
      <c r="J14" s="35"/>
      <c r="K14" s="35"/>
    </row>
    <row r="15" spans="1:11">
      <c r="A15" s="26"/>
      <c r="B15" s="26"/>
      <c r="C15" s="27"/>
      <c r="D15" s="81">
        <v>0.08</v>
      </c>
      <c r="E15" s="76">
        <v>0.02</v>
      </c>
      <c r="F15" s="82">
        <v>0.1</v>
      </c>
      <c r="G15" s="35"/>
      <c r="H15" s="35"/>
      <c r="I15" s="35"/>
      <c r="J15" s="35"/>
      <c r="K15" s="35"/>
    </row>
    <row r="16" spans="1:11">
      <c r="A16" s="10" t="s">
        <v>21</v>
      </c>
      <c r="B16" s="13">
        <v>100</v>
      </c>
      <c r="C16" s="19">
        <v>500</v>
      </c>
      <c r="D16" s="83">
        <f>E4*D15</f>
        <v>8</v>
      </c>
      <c r="E16" s="77">
        <f>E4*E15</f>
        <v>2</v>
      </c>
      <c r="F16" s="84">
        <f>E4*F15</f>
        <v>10</v>
      </c>
      <c r="G16" s="35"/>
      <c r="H16" s="35"/>
      <c r="I16" s="35"/>
      <c r="J16" s="35"/>
      <c r="K16" s="35"/>
    </row>
    <row r="17" spans="1:11">
      <c r="A17" s="10" t="s">
        <v>22</v>
      </c>
      <c r="B17" s="13">
        <v>0</v>
      </c>
      <c r="C17" s="19"/>
      <c r="D17" s="85"/>
      <c r="E17" s="77"/>
      <c r="F17" s="86"/>
      <c r="G17" s="35"/>
      <c r="H17" s="35"/>
      <c r="I17" s="35"/>
      <c r="J17" s="35"/>
      <c r="K17" s="35"/>
    </row>
    <row r="18" spans="1:11">
      <c r="A18" s="10" t="s">
        <v>23</v>
      </c>
      <c r="B18" s="13">
        <v>0</v>
      </c>
      <c r="C18" s="19"/>
      <c r="D18" s="87"/>
      <c r="E18" s="77"/>
      <c r="F18" s="88"/>
      <c r="G18" s="35"/>
      <c r="H18" s="35"/>
      <c r="I18" s="35"/>
      <c r="J18" s="35"/>
      <c r="K18" s="35"/>
    </row>
    <row r="19" spans="1:11">
      <c r="A19" s="10" t="s">
        <v>24</v>
      </c>
      <c r="B19" s="13">
        <v>0</v>
      </c>
      <c r="C19" s="19"/>
      <c r="D19" s="87"/>
      <c r="E19" s="77"/>
      <c r="F19" s="88"/>
      <c r="G19" s="35"/>
      <c r="H19" s="35"/>
      <c r="I19" s="35"/>
      <c r="J19" s="35"/>
      <c r="K19" s="35"/>
    </row>
    <row r="20" spans="1:11" ht="15.75" thickBot="1">
      <c r="A20" s="18" t="s">
        <v>7</v>
      </c>
      <c r="B20" s="14">
        <f>SUM(B16:B19)</f>
        <v>100</v>
      </c>
      <c r="C20" s="68">
        <f>SUM(C16:C19)</f>
        <v>500</v>
      </c>
      <c r="D20" s="89">
        <f>SUM(D16:D19)</f>
        <v>8</v>
      </c>
      <c r="E20" s="90">
        <f>SUM(E16:E19)</f>
        <v>2</v>
      </c>
      <c r="F20" s="91">
        <f>SUM(F16:F19)</f>
        <v>10</v>
      </c>
      <c r="G20" s="35"/>
      <c r="H20" s="35"/>
      <c r="I20" s="35"/>
      <c r="J20" s="35"/>
      <c r="K20" s="35"/>
    </row>
    <row r="21" spans="1:11">
      <c r="A21" s="42"/>
      <c r="B21" s="17"/>
      <c r="C21" s="17"/>
      <c r="D21" s="17"/>
      <c r="E21" s="31"/>
      <c r="F21" s="35"/>
      <c r="G21" s="35"/>
      <c r="H21" s="35"/>
      <c r="I21" s="35"/>
      <c r="J21" s="35"/>
      <c r="K21" s="35"/>
    </row>
    <row r="22" spans="1:11">
      <c r="A22" s="4"/>
      <c r="D22" s="6"/>
      <c r="F22" s="35"/>
      <c r="G22" s="35"/>
      <c r="H22" s="35"/>
      <c r="I22" s="35"/>
      <c r="J22" s="35"/>
      <c r="K22" s="35"/>
    </row>
    <row r="23" spans="1:11" ht="15.75" thickBot="1">
      <c r="A23" s="4"/>
      <c r="D23" s="6"/>
      <c r="F23" s="35"/>
      <c r="G23" s="35"/>
      <c r="H23" s="35"/>
      <c r="I23" s="35"/>
      <c r="J23" s="35"/>
      <c r="K23" s="35"/>
    </row>
    <row r="24" spans="1:11">
      <c r="A24" s="69" t="s">
        <v>25</v>
      </c>
      <c r="B24" s="70"/>
      <c r="C24" s="70"/>
      <c r="D24" s="70"/>
      <c r="E24" s="70"/>
      <c r="F24" s="71"/>
      <c r="G24" s="35"/>
      <c r="H24" s="35"/>
      <c r="I24" s="35"/>
      <c r="J24" s="35"/>
      <c r="K24" s="35"/>
    </row>
    <row r="25" spans="1:11" ht="15.75" thickBot="1">
      <c r="A25" s="72" t="s">
        <v>26</v>
      </c>
      <c r="B25" s="73"/>
      <c r="C25" s="73"/>
      <c r="D25" s="73"/>
      <c r="E25" s="73"/>
      <c r="F25" s="74"/>
    </row>
  </sheetData>
  <mergeCells count="4">
    <mergeCell ref="A12:D12"/>
    <mergeCell ref="A24:F24"/>
    <mergeCell ref="A25:F25"/>
    <mergeCell ref="D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Dado Directo</vt:lpstr>
      <vt:lpstr>Super Dado</vt:lpstr>
      <vt:lpstr>Dado Tripleta</vt:lpstr>
      <vt:lpstr>Ruleta</vt:lpstr>
      <vt:lpstr>Pagos Beneficio</vt:lpstr>
    </vt:vector>
  </TitlesOfParts>
  <Company>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Android phone</dc:creator>
  <cp:lastModifiedBy>peter</cp:lastModifiedBy>
  <dcterms:modified xsi:type="dcterms:W3CDTF">2015-08-23T23:50:47Z</dcterms:modified>
</cp:coreProperties>
</file>