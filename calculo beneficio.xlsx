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juega123\DOC\"/>
    </mc:Choice>
  </mc:AlternateContent>
  <bookViews>
    <workbookView xWindow="0" yWindow="0" windowWidth="19200" windowHeight="115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7" i="1"/>
  <c r="F7" i="1"/>
  <c r="H12" i="1"/>
  <c r="B12" i="1"/>
  <c r="H9" i="1"/>
  <c r="G3" i="1"/>
  <c r="D12" i="1" s="1"/>
  <c r="I9" i="1"/>
  <c r="J9" i="1" s="1"/>
  <c r="F6" i="1"/>
  <c r="F5" i="1"/>
  <c r="E6" i="1"/>
  <c r="E5" i="1"/>
  <c r="D6" i="1"/>
  <c r="D5" i="1"/>
  <c r="C6" i="1"/>
  <c r="C5" i="1"/>
  <c r="C7" i="1" s="1"/>
  <c r="G12" i="1" l="1"/>
  <c r="I12" i="1"/>
  <c r="J12" i="1" s="1"/>
  <c r="G5" i="1"/>
  <c r="G6" i="1"/>
</calcChain>
</file>

<file path=xl/sharedStrings.xml><?xml version="1.0" encoding="utf-8"?>
<sst xmlns="http://schemas.openxmlformats.org/spreadsheetml/2006/main" count="17" uniqueCount="16">
  <si>
    <t>zzvm</t>
  </si>
  <si>
    <t>jdd</t>
  </si>
  <si>
    <t>sponsor</t>
  </si>
  <si>
    <t xml:space="preserve">total </t>
  </si>
  <si>
    <t>jugador 1</t>
  </si>
  <si>
    <t>jugador 2</t>
  </si>
  <si>
    <t>valor</t>
  </si>
  <si>
    <t>BENEFICIO POR VENTA DE RECARGAS</t>
  </si>
  <si>
    <t>POS</t>
  </si>
  <si>
    <t>RETIRO</t>
  </si>
  <si>
    <t>GANO</t>
  </si>
  <si>
    <t xml:space="preserve">jugador 1 </t>
  </si>
  <si>
    <t>RETIRO SIN JUGAR</t>
  </si>
  <si>
    <t>POS-PAGO</t>
  </si>
  <si>
    <t>PRE-PAGO</t>
  </si>
  <si>
    <t>JUEGO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</si>
</sst>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0" applyNumberFormat="1"/>
    <xf numFmtId="43" fontId="0" fillId="0" borderId="0" xfId="1" applyFont="1"/>
    <xf numFmtId="43" fontId="0" fillId="0" borderId="0" xfId="0" applyNumberFormat="1"/>
    <xf numFmtId="0" fontId="3" fillId="0" borderId="0" xfId="0" applyFont="1"/>
    <xf numFmtId="16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3" fillId="3" borderId="0" xfId="0" applyFont="1" applyFill="1"/>
    <xf numFmtId="0" fontId="2" fillId="0" borderId="0" xfId="0" applyFont="1"/>
    <xf numFmtId="166" fontId="2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2" fontId="3" fillId="0" borderId="0" xfId="0" applyNumberFormat="1" applyFont="1"/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140" zoomScaleNormal="140" workbookViewId="0">
      <selection activeCell="D3" sqref="D3"/>
    </sheetView>
  </sheetViews>
  <sheetFormatPr baseColWidth="10" defaultRowHeight="14.4" x14ac:dyDescent="0.3"/>
  <cols>
    <col min="1" max="1" width="16.5546875" bestFit="1" customWidth="1"/>
    <col min="2" max="2" width="8.6640625" bestFit="1" customWidth="1"/>
    <col min="3" max="3" width="5.109375" bestFit="1" customWidth="1"/>
    <col min="4" max="4" width="6.6640625" bestFit="1" customWidth="1"/>
    <col min="5" max="5" width="7.6640625" bestFit="1" customWidth="1"/>
    <col min="6" max="6" width="5" bestFit="1" customWidth="1"/>
    <col min="7" max="7" width="11.21875" bestFit="1" customWidth="1"/>
    <col min="8" max="8" width="9.6640625" bestFit="1" customWidth="1"/>
    <col min="9" max="9" width="7.6640625" bestFit="1" customWidth="1"/>
    <col min="10" max="10" width="8.6640625" bestFit="1" customWidth="1"/>
  </cols>
  <sheetData>
    <row r="1" spans="1:11" x14ac:dyDescent="0.3">
      <c r="A1" s="16" t="s">
        <v>7</v>
      </c>
      <c r="B1" s="16"/>
      <c r="C1" s="16"/>
      <c r="D1" s="16"/>
      <c r="E1" s="16"/>
      <c r="F1" s="16"/>
      <c r="G1" s="16"/>
      <c r="H1" s="16"/>
      <c r="I1" s="16"/>
      <c r="J1" s="16"/>
    </row>
    <row r="2" spans="1:11" x14ac:dyDescent="0.3">
      <c r="B2" t="s">
        <v>6</v>
      </c>
      <c r="C2" t="s">
        <v>0</v>
      </c>
      <c r="D2" t="s">
        <v>1</v>
      </c>
      <c r="E2" t="s">
        <v>2</v>
      </c>
      <c r="F2" s="6" t="s">
        <v>8</v>
      </c>
      <c r="G2" t="s">
        <v>14</v>
      </c>
      <c r="H2" t="s">
        <v>13</v>
      </c>
      <c r="I2" t="s">
        <v>9</v>
      </c>
      <c r="J2" s="4" t="s">
        <v>3</v>
      </c>
    </row>
    <row r="3" spans="1:11" x14ac:dyDescent="0.3">
      <c r="C3" s="5">
        <v>0.01</v>
      </c>
      <c r="D3" s="5">
        <v>5.0000000000000001E-3</v>
      </c>
      <c r="E3" s="5">
        <v>5.0000000000000001E-3</v>
      </c>
      <c r="F3" s="5">
        <v>0.03</v>
      </c>
      <c r="G3" s="12">
        <f>SUM(C3:F3)*-1</f>
        <v>-0.05</v>
      </c>
      <c r="H3" s="12">
        <v>-0.05</v>
      </c>
      <c r="I3" s="1">
        <v>0.1</v>
      </c>
      <c r="J3" s="4"/>
    </row>
    <row r="4" spans="1:11" x14ac:dyDescent="0.3">
      <c r="J4" s="4"/>
    </row>
    <row r="5" spans="1:11" x14ac:dyDescent="0.3">
      <c r="A5" t="s">
        <v>4</v>
      </c>
      <c r="B5">
        <v>100</v>
      </c>
      <c r="C5">
        <f>B5*$C$3</f>
        <v>1</v>
      </c>
      <c r="D5">
        <f>B5*$D$3</f>
        <v>0.5</v>
      </c>
      <c r="E5">
        <f>B5*$E$3</f>
        <v>0.5</v>
      </c>
      <c r="F5">
        <f>B5*$F$3</f>
        <v>3</v>
      </c>
      <c r="G5">
        <f>-SUM(C5:F5)</f>
        <v>-5</v>
      </c>
      <c r="J5" s="4"/>
    </row>
    <row r="6" spans="1:11" x14ac:dyDescent="0.3">
      <c r="A6" t="s">
        <v>5</v>
      </c>
      <c r="B6">
        <v>100</v>
      </c>
      <c r="C6">
        <f>B6*$C$3</f>
        <v>1</v>
      </c>
      <c r="D6">
        <f>B6*$D$3</f>
        <v>0.5</v>
      </c>
      <c r="E6">
        <f>B6*$E$3</f>
        <v>0.5</v>
      </c>
      <c r="F6">
        <f>B6*$F$3</f>
        <v>3</v>
      </c>
      <c r="G6">
        <f>-SUM(C6:F6)</f>
        <v>-5</v>
      </c>
      <c r="J6" s="4"/>
    </row>
    <row r="7" spans="1:11" x14ac:dyDescent="0.3">
      <c r="C7">
        <f>SUM(C5:C6)</f>
        <v>2</v>
      </c>
      <c r="D7">
        <f t="shared" ref="D7:F7" si="0">SUM(D5:D6)</f>
        <v>1</v>
      </c>
      <c r="E7">
        <f t="shared" si="0"/>
        <v>1</v>
      </c>
      <c r="F7">
        <f t="shared" si="0"/>
        <v>6</v>
      </c>
      <c r="J7" s="4"/>
    </row>
    <row r="8" spans="1:11" x14ac:dyDescent="0.3">
      <c r="A8" s="7" t="s">
        <v>12</v>
      </c>
      <c r="B8" s="7"/>
      <c r="C8" s="7"/>
      <c r="D8" s="7"/>
      <c r="E8" s="7"/>
      <c r="F8" s="7"/>
      <c r="G8" s="7"/>
      <c r="H8" s="7"/>
      <c r="I8" s="7"/>
      <c r="J8" s="8"/>
    </row>
    <row r="9" spans="1:11" x14ac:dyDescent="0.3">
      <c r="A9" t="s">
        <v>4</v>
      </c>
      <c r="B9">
        <v>100</v>
      </c>
      <c r="G9" s="11">
        <v>-5</v>
      </c>
      <c r="H9" s="11">
        <f>B9*H3</f>
        <v>-5</v>
      </c>
      <c r="I9">
        <f>B9*$I$3</f>
        <v>10</v>
      </c>
      <c r="J9" s="4">
        <f>B9-I9</f>
        <v>90</v>
      </c>
    </row>
    <row r="10" spans="1:11" x14ac:dyDescent="0.3">
      <c r="J10" s="4"/>
    </row>
    <row r="11" spans="1:11" x14ac:dyDescent="0.3">
      <c r="A11" s="9" t="s">
        <v>10</v>
      </c>
      <c r="B11" s="9"/>
      <c r="C11" s="9"/>
      <c r="D11" s="9"/>
      <c r="E11" s="9"/>
      <c r="F11" s="9"/>
      <c r="G11" s="9"/>
      <c r="H11" s="9"/>
      <c r="I11" s="9"/>
      <c r="J11" s="10"/>
    </row>
    <row r="12" spans="1:11" x14ac:dyDescent="0.3">
      <c r="A12" t="s">
        <v>11</v>
      </c>
      <c r="B12" s="13">
        <f>(B5*0.9)+B5</f>
        <v>190</v>
      </c>
      <c r="C12" s="13"/>
      <c r="D12" s="13">
        <f>-((B5+B6)*G3)</f>
        <v>10</v>
      </c>
      <c r="E12" s="13"/>
      <c r="F12" s="13"/>
      <c r="G12" s="14">
        <f>B12*G3</f>
        <v>-9.5</v>
      </c>
      <c r="H12" s="14">
        <f>B12*H3</f>
        <v>-9.5</v>
      </c>
      <c r="I12" s="13">
        <f>B12*$I$3</f>
        <v>19</v>
      </c>
      <c r="J12" s="15">
        <f>B12-I12</f>
        <v>171</v>
      </c>
      <c r="K12" s="13"/>
    </row>
    <row r="13" spans="1:11" x14ac:dyDescent="0.3">
      <c r="J13" s="4"/>
    </row>
    <row r="14" spans="1:11" x14ac:dyDescent="0.3">
      <c r="A14" t="s">
        <v>15</v>
      </c>
      <c r="J14" s="4"/>
    </row>
    <row r="16" spans="1:11" x14ac:dyDescent="0.3">
      <c r="D16" s="2"/>
      <c r="F16" s="2"/>
      <c r="G16" s="2"/>
      <c r="H16" s="3"/>
      <c r="I16" s="2"/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2017-02-21T00:03:14Z</dcterms:created>
  <dcterms:modified xsi:type="dcterms:W3CDTF">2017-02-21T01:39:53Z</dcterms:modified>
</cp:coreProperties>
</file>